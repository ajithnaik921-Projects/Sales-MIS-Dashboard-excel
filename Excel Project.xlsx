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30" yWindow="540" windowWidth="18880" windowHeight="7740"/>
  </bookViews>
  <sheets>
    <sheet name="Sales_Data" sheetId="1" r:id="rId1"/>
    <sheet name="Piviot Analysis" sheetId="2" r:id="rId2"/>
    <sheet name="KPI Summary" sheetId="3" r:id="rId3"/>
    <sheet name="Dashboard" sheetId="4" r:id="rId4"/>
  </sheets>
  <definedNames>
    <definedName name="Slicer_Product_Category">#N/A</definedName>
    <definedName name="Slicer_Region">#N/A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3" l="1"/>
  <c r="C3" i="3"/>
  <c r="C4" i="3"/>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alcChain>
</file>

<file path=xl/sharedStrings.xml><?xml version="1.0" encoding="utf-8"?>
<sst xmlns="http://schemas.openxmlformats.org/spreadsheetml/2006/main" count="485" uniqueCount="42">
  <si>
    <t>Order Date</t>
  </si>
  <si>
    <t>Region</t>
  </si>
  <si>
    <t>Product Category</t>
  </si>
  <si>
    <t>Product Name</t>
  </si>
  <si>
    <t>Sales</t>
  </si>
  <si>
    <t>Quantity</t>
  </si>
  <si>
    <t>Cost</t>
  </si>
  <si>
    <t>West</t>
  </si>
  <si>
    <t>Clothing</t>
  </si>
  <si>
    <t>Jeans</t>
  </si>
  <si>
    <t>North</t>
  </si>
  <si>
    <t>Furniture</t>
  </si>
  <si>
    <t>Office Chair</t>
  </si>
  <si>
    <t>East</t>
  </si>
  <si>
    <t>Sofa</t>
  </si>
  <si>
    <t>Electronics</t>
  </si>
  <si>
    <t>Smartphone</t>
  </si>
  <si>
    <t>South</t>
  </si>
  <si>
    <t>Power Bank</t>
  </si>
  <si>
    <t>Table</t>
  </si>
  <si>
    <t>Jacket</t>
  </si>
  <si>
    <t>Headphones</t>
  </si>
  <si>
    <t>Smart Watch</t>
  </si>
  <si>
    <t>Kids Wear</t>
  </si>
  <si>
    <t>Bookshelf</t>
  </si>
  <si>
    <t>T-Shirt</t>
  </si>
  <si>
    <t xml:space="preserve">Profit </t>
  </si>
  <si>
    <t>Profit Margin %</t>
  </si>
  <si>
    <t>Sum of Sales</t>
  </si>
  <si>
    <t>Row Labels</t>
  </si>
  <si>
    <t>Grand Total</t>
  </si>
  <si>
    <t xml:space="preserve">Sum of Profit </t>
  </si>
  <si>
    <t>2024</t>
  </si>
  <si>
    <t>Jan</t>
  </si>
  <si>
    <t>Feb</t>
  </si>
  <si>
    <t>Mar</t>
  </si>
  <si>
    <t>Apr</t>
  </si>
  <si>
    <t>May</t>
  </si>
  <si>
    <t>Jun</t>
  </si>
  <si>
    <t>Total Sales</t>
  </si>
  <si>
    <t>Total Profit</t>
  </si>
  <si>
    <t>Average Profit Margin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</si>
</sst>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mm\-dd"/>
    <numFmt numFmtId="165" formatCode="&quot;₹&quot;\ #,##0"/>
    <numFmt numFmtId="166" formatCode="&quot;₹&quot;\ #,##0.00"/>
  </numFmts>
  <fonts count="3" x14ac:knownFonts="1">
    <font>
      <sz val="11"/>
      <color theme="1"/>
      <name val="Calibri"/>
      <family val="2"/>
      <scheme val="minor"/>
    </font>
    <font>
      <sz val="11"/>
      <color theme="1"/>
      <name val="Calibri"/>
      <family val="2"/>
      <scheme val="minor"/>
    </font>
    <font>
      <b/>
      <sz val="14"/>
      <color theme="1"/>
      <name val="Times New Roman"/>
      <family val="1"/>
    </font>
  </fonts>
  <fills count="2">
    <fill>
      <patternFill patternType="none"/>
    </fill>
    <fill>
      <patternFill patternType="gray125"/>
    </fill>
  </fills>
  <borders count="17">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9" fontId="0" fillId="0" borderId="0" xfId="1"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10" xfId="0" applyFont="1" applyBorder="1"/>
    <xf numFmtId="166" fontId="2" fillId="0" borderId="11" xfId="0" applyNumberFormat="1" applyFont="1" applyBorder="1"/>
    <xf numFmtId="0" fontId="2" fillId="0" borderId="12" xfId="0" applyFont="1" applyBorder="1"/>
    <xf numFmtId="166" fontId="2" fillId="0" borderId="13" xfId="0" applyNumberFormat="1" applyFont="1" applyBorder="1"/>
    <xf numFmtId="0" fontId="2" fillId="0" borderId="14" xfId="0" applyFont="1" applyBorder="1"/>
    <xf numFmtId="9" fontId="2" fillId="0" borderId="15" xfId="1" applyFont="1" applyBorder="1"/>
    <xf numFmtId="14" fontId="0" fillId="0" borderId="16" xfId="0" applyNumberFormat="1" applyBorder="1"/>
    <xf numFmtId="0" fontId="0" fillId="0" borderId="16" xfId="0" applyBorder="1"/>
    <xf numFmtId="165" fontId="0" fillId="0" borderId="16" xfId="0" applyNumberFormat="1" applyBorder="1"/>
    <xf numFmtId="9" fontId="0" fillId="0" borderId="16" xfId="1" applyFont="1" applyBorder="1"/>
  </cellXfs>
  <cellStyles count="2">
    <cellStyle name="Normal" xfId="0" builtinId="0"/>
    <cellStyle name="Percent" xfId="1" builtinId="5"/>
  </cellStyles>
  <dxfs count="9">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 #,##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[Excel_Sales_Performance_150_Orders.xlsx]Piviot Analysis!PivotTable2</c:name>
    <c:fmtId val="2"/>
  </c:pivotSource>
  <c:chart>
    <c:title>
      <c:tx>
        <c:rich>
          <a:bodyPr/>
          <a:lstStyle/>
          <a:p>
            <a:pPr>
              <a:defRPr/>
            </a:pPr>
            <a:r>
              <a:rPr lang="en-IN"/>
              <a:t>Sales By Region</a:t>
            </a: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barChart>
        <c:barDir val="col"/>
        <c:grouping val="clustered"/>
        <c:varyColors val="0"/>
        <c:ser>
          <c:idx val="0"/>
          <c:order val="0"/>
          <c:tx>
            <c:strRef>
              <c:f>'Piviot Analysis'!$I$4</c:f>
              <c:strCache>
                <c:ptCount val="1"/>
                <c:pt idx="0">
                  <c:v>Total</c:v>
                </c:pt>
              </c:strCache>
            </c:strRef>
          </c:tx>
          <c:invertIfNegative val="0"/>
          <c:cat>
            <c:strRef>
              <c:f>'Piviot Analysis'!$H$5:$H$9</c:f>
              <c:strCache>
                <c:ptCount val="4"/>
                <c:pt idx="0">
                  <c:v>East</c:v>
                </c:pt>
                <c:pt idx="1">
                  <c:v>North</c:v>
                </c:pt>
                <c:pt idx="2">
                  <c:v>South</c:v>
                </c:pt>
                <c:pt idx="3">
                  <c:v>West</c:v>
                </c:pt>
              </c:strCache>
            </c:strRef>
          </c:cat>
          <c:val>
            <c:numRef>
              <c:f>'Piviot Analysis'!$I$5:$I$9</c:f>
              <c:numCache>
                <c:formatCode>General</c:formatCode>
                <c:ptCount val="4"/>
                <c:pt idx="0">
                  <c:v>816058</c:v>
                </c:pt>
                <c:pt idx="1">
                  <c:v>761066</c:v>
                </c:pt>
                <c:pt idx="2">
                  <c:v>867255</c:v>
                </c:pt>
                <c:pt idx="3">
                  <c:v>793927</c:v>
                </c:pt>
              </c:numCache>
            </c:numRef>
          </c:val>
        </c:ser>
        <c:dLbls>
          <c:showLegendKey val="0"/>
          <c:showVal val="0"/>
          <c:showCatName val="0"/>
          <c:showSerName val="0"/>
          <c:showPercent val="0"/>
          <c:showBubbleSize val="0"/>
        </c:dLbls>
        <c:gapWidth val="150"/>
        <c:axId val="209482112"/>
        <c:axId val="209484032"/>
      </c:barChart>
      <c:catAx>
        <c:axId val="209482112"/>
        <c:scaling>
          <c:orientation val="minMax"/>
        </c:scaling>
        <c:delete val="0"/>
        <c:axPos val="b"/>
        <c:title>
          <c:tx>
            <c:rich>
              <a:bodyPr/>
              <a:lstStyle/>
              <a:p>
                <a:pPr>
                  <a:defRPr/>
                </a:pPr>
                <a:r>
                  <a:rPr lang="en-US"/>
                  <a:t>Region</a:t>
                </a:r>
              </a:p>
            </c:rich>
          </c:tx>
          <c:layout/>
          <c:overlay val="0"/>
        </c:title>
        <c:majorTickMark val="out"/>
        <c:minorTickMark val="none"/>
        <c:tickLblPos val="nextTo"/>
        <c:txPr>
          <a:bodyPr/>
          <a:lstStyle/>
          <a:p>
            <a:pPr>
              <a:defRPr sz="1000"/>
            </a:pPr>
            <a:endParaRPr lang="en-US"/>
          </a:p>
        </c:txPr>
        <c:crossAx val="209484032"/>
        <c:crosses val="autoZero"/>
        <c:auto val="1"/>
        <c:lblAlgn val="ctr"/>
        <c:lblOffset val="100"/>
        <c:noMultiLvlLbl val="0"/>
      </c:catAx>
      <c:valAx>
        <c:axId val="209484032"/>
        <c:scaling>
          <c:orientation val="minMax"/>
        </c:scaling>
        <c:delete val="0"/>
        <c:axPos val="l"/>
        <c:majorGridlines/>
        <c:title>
          <c:tx>
            <c:rich>
              <a:bodyPr/>
              <a:lstStyle/>
              <a:p>
                <a:pPr>
                  <a:defRPr/>
                </a:pPr>
                <a:r>
                  <a:rPr lang="en-IN"/>
                  <a:t>Sales</a:t>
                </a:r>
              </a:p>
            </c:rich>
          </c:tx>
          <c:layout/>
          <c:overlay val="0"/>
        </c:title>
        <c:numFmt formatCode="General" sourceLinked="1"/>
        <c:majorTickMark val="out"/>
        <c:minorTickMark val="none"/>
        <c:tickLblPos val="nextTo"/>
        <c:txPr>
          <a:bodyPr/>
          <a:lstStyle/>
          <a:p>
            <a:pPr>
              <a:defRPr sz="900"/>
            </a:pPr>
            <a:endParaRPr lang="en-US"/>
          </a:p>
        </c:txPr>
        <c:crossAx val="2094821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[Excel_Sales_Performance_150_Orders.xlsx]Piviot Analysis!PivotTable3</c:name>
    <c:fmtId val="3"/>
  </c:pivotSource>
  <c:chart>
    <c:title>
      <c:tx>
        <c:rich>
          <a:bodyPr/>
          <a:lstStyle/>
          <a:p>
            <a:pPr>
              <a:defRPr/>
            </a:pPr>
            <a:r>
              <a:rPr lang="en-US"/>
              <a:t>Profit By</a:t>
            </a:r>
            <a:r>
              <a:rPr lang="en-US" baseline="0"/>
              <a:t> Category</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'Piviot Analysis'!$L$4</c:f>
              <c:strCache>
                <c:ptCount val="1"/>
                <c:pt idx="0">
                  <c:v>Total</c:v>
                </c:pt>
              </c:strCache>
            </c:strRef>
          </c:tx>
          <c:invertIfNegative val="0"/>
          <c:cat>
            <c:strRef>
              <c:f>'Piviot Analysis'!$K$5:$K$8</c:f>
              <c:strCache>
                <c:ptCount val="3"/>
                <c:pt idx="0">
                  <c:v>Clothing</c:v>
                </c:pt>
                <c:pt idx="1">
                  <c:v>Electronics</c:v>
                </c:pt>
                <c:pt idx="2">
                  <c:v>Furniture</c:v>
                </c:pt>
              </c:strCache>
            </c:strRef>
          </c:cat>
          <c:val>
            <c:numRef>
              <c:f>'Piviot Analysis'!$L$5:$L$8</c:f>
              <c:numCache>
                <c:formatCode>General</c:formatCode>
                <c:ptCount val="3"/>
                <c:pt idx="0">
                  <c:v>241247</c:v>
                </c:pt>
                <c:pt idx="1">
                  <c:v>348440</c:v>
                </c:pt>
                <c:pt idx="2">
                  <c:v>294138</c:v>
                </c:pt>
              </c:numCache>
            </c:numRef>
          </c:val>
        </c:ser>
        <c:dLbls>
          <c:showLegendKey val="0"/>
          <c:showVal val="0"/>
          <c:showCatName val="0"/>
          <c:showSerName val="0"/>
          <c:showPercent val="0"/>
          <c:showBubbleSize val="0"/>
        </c:dLbls>
        <c:gapWidth val="150"/>
        <c:axId val="209496704"/>
        <c:axId val="210305792"/>
      </c:barChart>
      <c:catAx>
        <c:axId val="209496704"/>
        <c:scaling>
          <c:orientation val="minMax"/>
        </c:scaling>
        <c:delete val="0"/>
        <c:axPos val="l"/>
        <c:title>
          <c:tx>
            <c:rich>
              <a:bodyPr rot="-5400000" vert="horz"/>
              <a:lstStyle/>
              <a:p>
                <a:pPr>
                  <a:defRPr/>
                </a:pPr>
                <a:r>
                  <a:rPr lang="en-US"/>
                  <a:t>Product Category</a:t>
                </a:r>
              </a:p>
            </c:rich>
          </c:tx>
          <c:layout/>
          <c:overlay val="0"/>
        </c:title>
        <c:majorTickMark val="out"/>
        <c:minorTickMark val="none"/>
        <c:tickLblPos val="nextTo"/>
        <c:crossAx val="210305792"/>
        <c:crosses val="autoZero"/>
        <c:auto val="1"/>
        <c:lblAlgn val="ctr"/>
        <c:lblOffset val="100"/>
        <c:noMultiLvlLbl val="0"/>
      </c:catAx>
      <c:valAx>
        <c:axId val="210305792"/>
        <c:scaling>
          <c:orientation val="minMax"/>
        </c:scaling>
        <c:delete val="0"/>
        <c:axPos val="b"/>
        <c:majorGridlines/>
        <c:title>
          <c:tx>
            <c:rich>
              <a:bodyPr/>
              <a:lstStyle/>
              <a:p>
                <a:pPr>
                  <a:defRPr/>
                </a:pPr>
                <a:r>
                  <a:rPr lang="en-US"/>
                  <a:t>Total Profit</a:t>
                </a:r>
              </a:p>
            </c:rich>
          </c:tx>
          <c:layout/>
          <c:overlay val="0"/>
        </c:title>
        <c:numFmt formatCode="General" sourceLinked="1"/>
        <c:majorTickMark val="out"/>
        <c:minorTickMark val="none"/>
        <c:tickLblPos val="nextTo"/>
        <c:crossAx val="2094967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[Excel_Sales_Performance_150_Orders.xlsx]Piviot Analysis!PivotTable4</c:name>
    <c:fmtId val="2"/>
  </c:pivotSource>
  <c:chart>
    <c:title>
      <c:tx>
        <c:rich>
          <a:bodyPr/>
          <a:lstStyle/>
          <a:p>
            <a:pPr>
              <a:defRPr/>
            </a:pPr>
            <a:r>
              <a:rPr lang="en-US"/>
              <a:t>Monthly Sales Trend</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'Piviot Analysis'!$I$12</c:f>
              <c:strCache>
                <c:ptCount val="1"/>
                <c:pt idx="0">
                  <c:v>Total</c:v>
                </c:pt>
              </c:strCache>
            </c:strRef>
          </c:tx>
          <c:marker>
            <c:symbol val="none"/>
          </c:marker>
          <c:cat>
            <c:multiLvlStrRef>
              <c:f>'Piviot Analysis'!$H$13:$H$20</c:f>
              <c:multiLvlStrCache>
                <c:ptCount val="6"/>
                <c:lvl>
                  <c:pt idx="0">
                    <c:v>Jan</c:v>
                  </c:pt>
                  <c:pt idx="1">
                    <c:v>Feb</c:v>
                  </c:pt>
                  <c:pt idx="2">
                    <c:v>Mar</c:v>
                  </c:pt>
                  <c:pt idx="3">
                    <c:v>Apr</c:v>
                  </c:pt>
                  <c:pt idx="4">
                    <c:v>May</c:v>
                  </c:pt>
                  <c:pt idx="5">
                    <c:v>Jun</c:v>
                  </c:pt>
                </c:lvl>
                <c:lvl>
                  <c:pt idx="0">
                    <c:v>2024</c:v>
                  </c:pt>
                </c:lvl>
              </c:multiLvlStrCache>
            </c:multiLvlStrRef>
          </c:cat>
          <c:val>
            <c:numRef>
              <c:f>'Piviot Analysis'!$I$13:$I$20</c:f>
              <c:numCache>
                <c:formatCode>General</c:formatCode>
                <c:ptCount val="6"/>
                <c:pt idx="0">
                  <c:v>749923</c:v>
                </c:pt>
                <c:pt idx="1">
                  <c:v>383095</c:v>
                </c:pt>
                <c:pt idx="2">
                  <c:v>523763</c:v>
                </c:pt>
                <c:pt idx="3">
                  <c:v>562697</c:v>
                </c:pt>
                <c:pt idx="4">
                  <c:v>484200</c:v>
                </c:pt>
                <c:pt idx="5">
                  <c:v>534628</c:v>
                </c:pt>
              </c:numCache>
            </c:numRef>
          </c:val>
          <c:smooth val="0"/>
        </c:ser>
        <c:dLbls>
          <c:showLegendKey val="0"/>
          <c:showVal val="0"/>
          <c:showCatName val="0"/>
          <c:showSerName val="0"/>
          <c:showPercent val="0"/>
          <c:showBubbleSize val="0"/>
        </c:dLbls>
        <c:marker val="1"/>
        <c:smooth val="0"/>
        <c:axId val="210334848"/>
        <c:axId val="210336768"/>
      </c:lineChart>
      <c:catAx>
        <c:axId val="210334848"/>
        <c:scaling>
          <c:orientation val="minMax"/>
        </c:scaling>
        <c:delete val="0"/>
        <c:axPos val="b"/>
        <c:title>
          <c:tx>
            <c:rich>
              <a:bodyPr/>
              <a:lstStyle/>
              <a:p>
                <a:pPr>
                  <a:defRPr/>
                </a:pPr>
                <a:r>
                  <a:rPr lang="en-US"/>
                  <a:t>Month</a:t>
                </a:r>
              </a:p>
            </c:rich>
          </c:tx>
          <c:layout/>
          <c:overlay val="0"/>
        </c:title>
        <c:majorTickMark val="out"/>
        <c:minorTickMark val="none"/>
        <c:tickLblPos val="nextTo"/>
        <c:txPr>
          <a:bodyPr/>
          <a:lstStyle/>
          <a:p>
            <a:pPr>
              <a:defRPr sz="800"/>
            </a:pPr>
            <a:endParaRPr lang="en-US"/>
          </a:p>
        </c:txPr>
        <c:crossAx val="210336768"/>
        <c:crosses val="autoZero"/>
        <c:auto val="1"/>
        <c:lblAlgn val="ctr"/>
        <c:lblOffset val="100"/>
        <c:noMultiLvlLbl val="0"/>
      </c:catAx>
      <c:valAx>
        <c:axId val="210336768"/>
        <c:scaling>
          <c:orientation val="minMax"/>
        </c:scaling>
        <c:delete val="0"/>
        <c:axPos val="l"/>
        <c:majorGridlines/>
        <c:title>
          <c:tx>
            <c:rich>
              <a:bodyPr rot="-5400000" vert="horz"/>
              <a:lstStyle/>
              <a:p>
                <a:pPr>
                  <a:defRPr/>
                </a:pPr>
                <a:r>
                  <a:rPr lang="en-US"/>
                  <a:t>Sales</a:t>
                </a:r>
              </a:p>
            </c:rich>
          </c:tx>
          <c:layout/>
          <c:overlay val="0"/>
        </c:title>
        <c:numFmt formatCode="General" sourceLinked="1"/>
        <c:majorTickMark val="out"/>
        <c:minorTickMark val="none"/>
        <c:tickLblPos val="nextTo"/>
        <c:txPr>
          <a:bodyPr/>
          <a:lstStyle/>
          <a:p>
            <a:pPr>
              <a:defRPr sz="900"/>
            </a:pPr>
            <a:endParaRPr lang="en-US"/>
          </a:p>
        </c:txPr>
        <c:crossAx val="2103348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0</xdr:row>
      <xdr:rowOff>171451</xdr:rowOff>
    </xdr:from>
    <xdr:to>
      <xdr:col>6</xdr:col>
      <xdr:colOff>76200</xdr:colOff>
      <xdr:row>8</xdr:row>
      <xdr:rowOff>171451</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60600" y="171451"/>
              <a:ext cx="182880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9</xdr:row>
      <xdr:rowOff>120651</xdr:rowOff>
    </xdr:from>
    <xdr:to>
      <xdr:col>6</xdr:col>
      <xdr:colOff>76200</xdr:colOff>
      <xdr:row>16</xdr:row>
      <xdr:rowOff>177801</xdr:rowOff>
    </xdr:to>
    <mc:AlternateContent xmlns:mc="http://schemas.openxmlformats.org/markup-compatibility/2006" xmlns:a14="http://schemas.microsoft.com/office/drawing/2010/main">
      <mc:Choice Requires="a14">
        <xdr:graphicFrame macro="">
          <xdr:nvGraphicFramePr>
            <xdr:cNvPr id="4"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60600" y="1778001"/>
              <a:ext cx="1828800" cy="13462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298450</xdr:colOff>
      <xdr:row>1</xdr:row>
      <xdr:rowOff>12700</xdr:rowOff>
    </xdr:from>
    <xdr:to>
      <xdr:col>6</xdr:col>
      <xdr:colOff>241300</xdr:colOff>
      <xdr:row>15</xdr:row>
      <xdr:rowOff>177800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431800</xdr:colOff>
      <xdr:row>1</xdr:row>
      <xdr:rowOff>31750</xdr:rowOff>
    </xdr:from>
    <xdr:to>
      <xdr:col>12</xdr:col>
      <xdr:colOff>44450</xdr:colOff>
      <xdr:row>16</xdr:row>
      <xdr:rowOff>12700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298450</xdr:colOff>
      <xdr:row>16</xdr:row>
      <xdr:rowOff>177800</xdr:rowOff>
    </xdr:from>
    <xdr:to>
      <xdr:col>6</xdr:col>
      <xdr:colOff>241300</xdr:colOff>
      <xdr:row>31</xdr:row>
      <xdr:rowOff>158750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209550</xdr:colOff>
      <xdr:row>1</xdr:row>
      <xdr:rowOff>31750</xdr:rowOff>
    </xdr:from>
    <xdr:to>
      <xdr:col>15</xdr:col>
      <xdr:colOff>209550</xdr:colOff>
      <xdr:row>9</xdr:row>
      <xdr:rowOff>31750</xdr:rowOff>
    </xdr:to>
    <mc:AlternateContent xmlns:mc="http://schemas.openxmlformats.org/markup-compatibility/2006" xmlns:a14="http://schemas.microsoft.com/office/drawing/2010/main">
      <mc:Choice Requires="a14">
        <xdr:graphicFrame macro="">
          <xdr:nvGraphicFramePr>
            <xdr:cNvPr id="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98050" y="215900"/>
              <a:ext cx="182880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247650</xdr:colOff>
      <xdr:row>10</xdr:row>
      <xdr:rowOff>0</xdr:rowOff>
    </xdr:from>
    <xdr:to>
      <xdr:col>15</xdr:col>
      <xdr:colOff>247650</xdr:colOff>
      <xdr:row>17</xdr:row>
      <xdr:rowOff>57150</xdr:rowOff>
    </xdr:to>
    <mc:AlternateContent xmlns:mc="http://schemas.openxmlformats.org/markup-compatibility/2006" xmlns:a14="http://schemas.microsoft.com/office/drawing/2010/main">
      <mc:Choice Requires="a14">
        <xdr:graphicFrame macro="">
          <xdr:nvGraphicFramePr>
            <xdr:cNvPr id="7"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9836150" y="1841500"/>
              <a:ext cx="1828800" cy="13462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35.86661041667" createdVersion="4" refreshedVersion="4" minRefreshableVersion="3" recordCount="150">
  <cacheSource type="worksheet">
    <worksheetSource name="Sales_Data"/>
  </cacheSource>
  <cacheFields count="10">
    <cacheField name="Order Date" numFmtId="164">
      <sharedItems containsSemiMixedTypes="0" containsNonDate="0" containsDate="1" containsString="0" minDate="2024-01-01T00:00:00" maxDate="2024-06-28T00:00:00" count="103">
        <d v="2024-01-18T00:00:00"/>
        <d v="2024-06-12T00:00:00"/>
        <d v="2024-03-26T00:00:00"/>
        <d v="2024-01-23T00:00:00"/>
        <d v="2024-01-21T00:00:00"/>
        <d v="2024-04-05T00:00:00"/>
        <d v="2024-04-28T00:00:00"/>
        <d v="2024-02-09T00:00:00"/>
        <d v="2024-06-13T00:00:00"/>
        <d v="2024-03-13T00:00:00"/>
        <d v="2024-06-16T00:00:00"/>
        <d v="2024-06-03T00:00:00"/>
        <d v="2024-05-01T00:00:00"/>
        <d v="2024-05-17T00:00:00"/>
        <d v="2024-05-23T00:00:00"/>
        <d v="2024-06-09T00:00:00"/>
        <d v="2024-05-04T00:00:00"/>
        <d v="2024-03-05T00:00:00"/>
        <d v="2024-02-28T00:00:00"/>
        <d v="2024-05-26T00:00:00"/>
        <d v="2024-03-14T00:00:00"/>
        <d v="2024-04-02T00:00:00"/>
        <d v="2024-03-16T00:00:00"/>
        <d v="2024-01-09T00:00:00"/>
        <d v="2024-02-12T00:00:00"/>
        <d v="2024-06-17T00:00:00"/>
        <d v="2024-03-07T00:00:00"/>
        <d v="2024-03-17T00:00:00"/>
        <d v="2024-01-13T00:00:00"/>
        <d v="2024-03-22T00:00:00"/>
        <d v="2024-04-09T00:00:00"/>
        <d v="2024-01-15T00:00:00"/>
        <d v="2024-06-22T00:00:00"/>
        <d v="2024-04-29T00:00:00"/>
        <d v="2024-05-14T00:00:00"/>
        <d v="2024-06-20T00:00:00"/>
        <d v="2024-01-27T00:00:00"/>
        <d v="2024-02-20T00:00:00"/>
        <d v="2024-03-21T00:00:00"/>
        <d v="2024-02-27T00:00:00"/>
        <d v="2024-01-25T00:00:00"/>
        <d v="2024-01-02T00:00:00"/>
        <d v="2024-04-01T00:00:00"/>
        <d v="2024-01-14T00:00:00"/>
        <d v="2024-06-08T00:00:00"/>
        <d v="2024-03-30T00:00:00"/>
        <d v="2024-01-01T00:00:00"/>
        <d v="2024-05-20T00:00:00"/>
        <d v="2024-05-31T00:00:00"/>
        <d v="2024-06-07T00:00:00"/>
        <d v="2024-03-10T00:00:00"/>
        <d v="2024-02-29T00:00:00"/>
        <d v="2024-06-18T00:00:00"/>
        <d v="2024-01-29T00:00:00"/>
        <d v="2024-01-03T00:00:00"/>
        <d v="2024-02-15T00:00:00"/>
        <d v="2024-04-17T00:00:00"/>
        <d v="2024-03-08T00:00:00"/>
        <d v="2024-04-18T00:00:00"/>
        <d v="2024-02-22T00:00:00"/>
        <d v="2024-01-16T00:00:00"/>
        <d v="2024-05-07T00:00:00"/>
        <d v="2024-05-03T00:00:00"/>
        <d v="2024-03-09T00:00:00"/>
        <d v="2024-04-10T00:00:00"/>
        <d v="2024-04-20T00:00:00"/>
        <d v="2024-05-12T00:00:00"/>
        <d v="2024-03-02T00:00:00"/>
        <d v="2024-03-27T00:00:00"/>
        <d v="2024-06-14T00:00:00"/>
        <d v="2024-05-10T00:00:00"/>
        <d v="2024-02-03T00:00:00"/>
        <d v="2024-03-19T00:00:00"/>
        <d v="2024-04-06T00:00:00"/>
        <d v="2024-06-21T00:00:00"/>
        <d v="2024-01-19T00:00:00"/>
        <d v="2024-06-06T00:00:00"/>
        <d v="2024-01-26T00:00:00"/>
        <d v="2024-06-02T00:00:00"/>
        <d v="2024-04-15T00:00:00"/>
        <d v="2024-05-30T00:00:00"/>
        <d v="2024-02-13T00:00:00"/>
        <d v="2024-05-25T00:00:00"/>
        <d v="2024-04-22T00:00:00"/>
        <d v="2024-02-21T00:00:00"/>
        <d v="2024-04-14T00:00:00"/>
        <d v="2024-01-22T00:00:00"/>
        <d v="2024-02-01T00:00:00"/>
        <d v="2024-01-10T00:00:00"/>
        <d v="2024-03-12T00:00:00"/>
        <d v="2024-04-16T00:00:00"/>
        <d v="2024-04-12T00:00:00"/>
        <d v="2024-01-11T00:00:00"/>
        <d v="2024-05-15T00:00:00"/>
        <d v="2024-06-27T00:00:00"/>
        <d v="2024-02-05T00:00:00"/>
        <d v="2024-05-09T00:00:00"/>
        <d v="2024-01-28T00:00:00"/>
        <d v="2024-01-31T00:00:00"/>
        <d v="2024-01-12T00:00:00"/>
        <d v="2024-04-27T00:00:00"/>
        <d v="2024-01-30T00:00:00"/>
        <d v="2024-05-19T00:00:00"/>
      </sharedItems>
      <fieldGroup par="9" base="0">
        <rangePr groupBy="months" startDate="2024-01-01T00:00:00" endDate="2024-06-28T00:00:00"/>
        <groupItems count="14">
          <s v="&lt;01-01-2024"/>
          <s v="Jan"/>
          <s v="Feb"/>
          <s v="Mar"/>
          <s v="Apr"/>
          <s v="May"/>
          <s v="Jun"/>
          <s v="Jul"/>
          <s v="Aug"/>
          <s v="Sep"/>
          <s v="Oct"/>
          <s v="Nov"/>
          <s v="Dec"/>
          <s v="&gt;28-06-2024"/>
        </groupItems>
      </fieldGroup>
    </cacheField>
    <cacheField name="Region" numFmtId="0">
      <sharedItems count="4">
        <s v="West"/>
        <s v="North"/>
        <s v="East"/>
        <s v="South"/>
      </sharedItems>
    </cacheField>
    <cacheField name="Product Category" numFmtId="0">
      <sharedItems count="3">
        <s v="Clothing"/>
        <s v="Furniture"/>
        <s v="Electronics"/>
      </sharedItems>
    </cacheField>
    <cacheField name="Product Name" numFmtId="0">
      <sharedItems/>
    </cacheField>
    <cacheField name="Sales" numFmtId="0">
      <sharedItems containsSemiMixedTypes="0" containsString="0" containsNumber="1" containsInteger="1" minValue="5007" maxValue="39760"/>
    </cacheField>
    <cacheField name="Quantity" numFmtId="0">
      <sharedItems containsSemiMixedTypes="0" containsString="0" containsNumber="1" containsInteger="1" minValue="1" maxValue="20"/>
    </cacheField>
    <cacheField name="Cost" numFmtId="0">
      <sharedItems containsSemiMixedTypes="0" containsString="0" containsNumber="1" containsInteger="1" minValue="3310" maxValue="32302"/>
    </cacheField>
    <cacheField name="Profit " numFmtId="165">
      <sharedItems containsSemiMixedTypes="0" containsString="0" containsNumber="1" containsInteger="1" minValue="1117" maxValue="14651"/>
    </cacheField>
    <cacheField name="Profit Margin %" numFmtId="0">
      <sharedItems containsSemiMixedTypes="0" containsString="0" containsNumber="1" minValue="0.15027579712094713" maxValue="0.39815745848846373"/>
    </cacheField>
    <cacheField name="Years" numFmtId="0" databaseField="0">
      <fieldGroup base="0">
        <rangePr groupBy="years" startDate="2024-01-01T00:00:00" endDate="2024-06-28T00:00:00"/>
        <groupItems count="3">
          <s v="&lt;01-01-2024"/>
          <s v="2024"/>
          <s v="&gt;28-06-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
  <r>
    <x v="0"/>
    <x v="0"/>
    <x v="0"/>
    <s v="Jeans"/>
    <n v="25234"/>
    <n v="3"/>
    <n v="20491"/>
    <n v="4743"/>
    <n v="0.18796068796068796"/>
  </r>
  <r>
    <x v="1"/>
    <x v="1"/>
    <x v="1"/>
    <s v="Office Chair"/>
    <n v="8225"/>
    <n v="20"/>
    <n v="6324"/>
    <n v="1901"/>
    <n v="0.23112462006079026"/>
  </r>
  <r>
    <x v="2"/>
    <x v="2"/>
    <x v="1"/>
    <s v="Office Chair"/>
    <n v="14028"/>
    <n v="9"/>
    <n v="10454"/>
    <n v="3574"/>
    <n v="0.2547761619617907"/>
  </r>
  <r>
    <x v="3"/>
    <x v="0"/>
    <x v="1"/>
    <s v="Sofa"/>
    <n v="15150"/>
    <n v="19"/>
    <n v="10207"/>
    <n v="4943"/>
    <n v="0.32627062706270626"/>
  </r>
  <r>
    <x v="4"/>
    <x v="1"/>
    <x v="2"/>
    <s v="Smartphone"/>
    <n v="37491"/>
    <n v="15"/>
    <n v="27868"/>
    <n v="9623"/>
    <n v="0.2566749353178096"/>
  </r>
  <r>
    <x v="5"/>
    <x v="3"/>
    <x v="2"/>
    <s v="Power Bank"/>
    <n v="17263"/>
    <n v="5"/>
    <n v="10965"/>
    <n v="6298"/>
    <n v="0.36482650755952034"/>
  </r>
  <r>
    <x v="6"/>
    <x v="3"/>
    <x v="1"/>
    <s v="Table"/>
    <n v="26272"/>
    <n v="3"/>
    <n v="17883"/>
    <n v="8389"/>
    <n v="0.31931333739342266"/>
  </r>
  <r>
    <x v="7"/>
    <x v="2"/>
    <x v="0"/>
    <s v="Jacket"/>
    <n v="9394"/>
    <n v="12"/>
    <n v="7125"/>
    <n v="2269"/>
    <n v="0.24153715137321694"/>
  </r>
  <r>
    <x v="3"/>
    <x v="2"/>
    <x v="2"/>
    <s v="Headphones"/>
    <n v="35332"/>
    <n v="17"/>
    <n v="25102"/>
    <n v="10230"/>
    <n v="0.28953922789539227"/>
  </r>
  <r>
    <x v="2"/>
    <x v="0"/>
    <x v="2"/>
    <s v="Smartphone"/>
    <n v="16920"/>
    <n v="16"/>
    <n v="11593"/>
    <n v="5327"/>
    <n v="0.31483451536643026"/>
  </r>
  <r>
    <x v="8"/>
    <x v="2"/>
    <x v="2"/>
    <s v="Smart Watch"/>
    <n v="37297"/>
    <n v="8"/>
    <n v="31276"/>
    <n v="6021"/>
    <n v="0.16143389548757273"/>
  </r>
  <r>
    <x v="9"/>
    <x v="2"/>
    <x v="0"/>
    <s v="Kids Wear"/>
    <n v="33513"/>
    <n v="19"/>
    <n v="25248"/>
    <n v="8265"/>
    <n v="0.24662071434965535"/>
  </r>
  <r>
    <x v="10"/>
    <x v="2"/>
    <x v="0"/>
    <s v="Jeans"/>
    <n v="35062"/>
    <n v="7"/>
    <n v="26145"/>
    <n v="8917"/>
    <n v="0.2543209172323313"/>
  </r>
  <r>
    <x v="11"/>
    <x v="0"/>
    <x v="2"/>
    <s v="Smart Watch"/>
    <n v="19742"/>
    <n v="15"/>
    <n v="13086"/>
    <n v="6656"/>
    <n v="0.33714922500253269"/>
  </r>
  <r>
    <x v="12"/>
    <x v="1"/>
    <x v="1"/>
    <s v="Sofa"/>
    <n v="8951"/>
    <n v="12"/>
    <n v="5612"/>
    <n v="3339"/>
    <n v="0.37303094626298738"/>
  </r>
  <r>
    <x v="13"/>
    <x v="1"/>
    <x v="1"/>
    <s v="Sofa"/>
    <n v="30050"/>
    <n v="17"/>
    <n v="19559"/>
    <n v="10491"/>
    <n v="0.34911813643926787"/>
  </r>
  <r>
    <x v="14"/>
    <x v="3"/>
    <x v="0"/>
    <s v="Jeans"/>
    <n v="13121"/>
    <n v="2"/>
    <n v="10292"/>
    <n v="2829"/>
    <n v="0.21560856642024237"/>
  </r>
  <r>
    <x v="15"/>
    <x v="2"/>
    <x v="0"/>
    <s v="Jeans"/>
    <n v="17377"/>
    <n v="8"/>
    <n v="13996"/>
    <n v="3381"/>
    <n v="0.1945675317949013"/>
  </r>
  <r>
    <x v="16"/>
    <x v="0"/>
    <x v="1"/>
    <s v="Sofa"/>
    <n v="13757"/>
    <n v="19"/>
    <n v="9679"/>
    <n v="4078"/>
    <n v="0.29643090790143201"/>
  </r>
  <r>
    <x v="17"/>
    <x v="1"/>
    <x v="1"/>
    <s v="Office Chair"/>
    <n v="28257"/>
    <n v="5"/>
    <n v="21309"/>
    <n v="6948"/>
    <n v="0.24588597515659835"/>
  </r>
  <r>
    <x v="18"/>
    <x v="1"/>
    <x v="1"/>
    <s v="Bookshelf"/>
    <n v="6555"/>
    <n v="10"/>
    <n v="4644"/>
    <n v="1911"/>
    <n v="0.29153318077803203"/>
  </r>
  <r>
    <x v="19"/>
    <x v="3"/>
    <x v="1"/>
    <s v="Table"/>
    <n v="32954"/>
    <n v="4"/>
    <n v="23003"/>
    <n v="9951"/>
    <n v="0.30196637737452209"/>
  </r>
  <r>
    <x v="20"/>
    <x v="3"/>
    <x v="2"/>
    <s v="Smart Watch"/>
    <n v="27016"/>
    <n v="3"/>
    <n v="20099"/>
    <n v="6917"/>
    <n v="0.25603346165235413"/>
  </r>
  <r>
    <x v="21"/>
    <x v="2"/>
    <x v="2"/>
    <s v="Headphones"/>
    <n v="5443"/>
    <n v="7"/>
    <n v="3423"/>
    <n v="2020"/>
    <n v="0.37111886827117396"/>
  </r>
  <r>
    <x v="22"/>
    <x v="3"/>
    <x v="0"/>
    <s v="Kids Wear"/>
    <n v="23238"/>
    <n v="2"/>
    <n v="17648"/>
    <n v="5590"/>
    <n v="0.24055426456665807"/>
  </r>
  <r>
    <x v="23"/>
    <x v="3"/>
    <x v="0"/>
    <s v="Jacket"/>
    <n v="25324"/>
    <n v="18"/>
    <n v="18954"/>
    <n v="6370"/>
    <n v="0.25154004106776179"/>
  </r>
  <r>
    <x v="24"/>
    <x v="1"/>
    <x v="2"/>
    <s v="Smart Watch"/>
    <n v="19226"/>
    <n v="19"/>
    <n v="13346"/>
    <n v="5880"/>
    <n v="0.30583584729012797"/>
  </r>
  <r>
    <x v="25"/>
    <x v="3"/>
    <x v="1"/>
    <s v="Table"/>
    <n v="30449"/>
    <n v="10"/>
    <n v="20719"/>
    <n v="9730"/>
    <n v="0.31955072416171304"/>
  </r>
  <r>
    <x v="21"/>
    <x v="1"/>
    <x v="2"/>
    <s v="Smartphone"/>
    <n v="9596"/>
    <n v="5"/>
    <n v="7820"/>
    <n v="1776"/>
    <n v="0.18507711546477698"/>
  </r>
  <r>
    <x v="26"/>
    <x v="0"/>
    <x v="1"/>
    <s v="Bookshelf"/>
    <n v="6914"/>
    <n v="11"/>
    <n v="5647"/>
    <n v="1267"/>
    <n v="0.18325137402371999"/>
  </r>
  <r>
    <x v="10"/>
    <x v="2"/>
    <x v="2"/>
    <s v="Power Bank"/>
    <n v="30652"/>
    <n v="9"/>
    <n v="20091"/>
    <n v="10561"/>
    <n v="0.34454521727782855"/>
  </r>
  <r>
    <x v="27"/>
    <x v="0"/>
    <x v="1"/>
    <s v="Bookshelf"/>
    <n v="12253"/>
    <n v="9"/>
    <n v="8866"/>
    <n v="3387"/>
    <n v="0.27642210071003021"/>
  </r>
  <r>
    <x v="28"/>
    <x v="0"/>
    <x v="2"/>
    <s v="Power Bank"/>
    <n v="18454"/>
    <n v="17"/>
    <n v="11750"/>
    <n v="6704"/>
    <n v="0.36328167334995121"/>
  </r>
  <r>
    <x v="3"/>
    <x v="2"/>
    <x v="1"/>
    <s v="Bookshelf"/>
    <n v="33785"/>
    <n v="10"/>
    <n v="23389"/>
    <n v="10396"/>
    <n v="0.30771052242119284"/>
  </r>
  <r>
    <x v="29"/>
    <x v="2"/>
    <x v="1"/>
    <s v="Bookshelf"/>
    <n v="11729"/>
    <n v="12"/>
    <n v="7488"/>
    <n v="4241"/>
    <n v="0.3615824025918663"/>
  </r>
  <r>
    <x v="30"/>
    <x v="0"/>
    <x v="2"/>
    <s v="Smart Watch"/>
    <n v="38341"/>
    <n v="8"/>
    <n v="30786"/>
    <n v="7555"/>
    <n v="0.19704754701233668"/>
  </r>
  <r>
    <x v="27"/>
    <x v="0"/>
    <x v="2"/>
    <s v="Power Bank"/>
    <n v="19882"/>
    <n v="4"/>
    <n v="15115"/>
    <n v="4767"/>
    <n v="0.23976461120611609"/>
  </r>
  <r>
    <x v="31"/>
    <x v="2"/>
    <x v="2"/>
    <s v="Smartphone"/>
    <n v="30704"/>
    <n v="19"/>
    <n v="25123"/>
    <n v="5581"/>
    <n v="0.18176784783741531"/>
  </r>
  <r>
    <x v="32"/>
    <x v="1"/>
    <x v="1"/>
    <s v="Sofa"/>
    <n v="10644"/>
    <n v="11"/>
    <n v="7171"/>
    <n v="3473"/>
    <n v="0.32628711010898159"/>
  </r>
  <r>
    <x v="33"/>
    <x v="3"/>
    <x v="0"/>
    <s v="Kids Wear"/>
    <n v="7692"/>
    <n v="10"/>
    <n v="5663"/>
    <n v="2029"/>
    <n v="0.26378055122204891"/>
  </r>
  <r>
    <x v="34"/>
    <x v="2"/>
    <x v="0"/>
    <s v="Jeans"/>
    <n v="8419"/>
    <n v="16"/>
    <n v="6278"/>
    <n v="2141"/>
    <n v="0.25430573702339948"/>
  </r>
  <r>
    <x v="35"/>
    <x v="0"/>
    <x v="0"/>
    <s v="Jacket"/>
    <n v="23410"/>
    <n v="11"/>
    <n v="18798"/>
    <n v="4612"/>
    <n v="0.19700982486117044"/>
  </r>
  <r>
    <x v="36"/>
    <x v="1"/>
    <x v="1"/>
    <s v="Office Chair"/>
    <n v="19976"/>
    <n v="1"/>
    <n v="15866"/>
    <n v="4110"/>
    <n v="0.20574689627553064"/>
  </r>
  <r>
    <x v="37"/>
    <x v="3"/>
    <x v="1"/>
    <s v="Office Chair"/>
    <n v="31832"/>
    <n v="2"/>
    <n v="25028"/>
    <n v="6804"/>
    <n v="0.21374717265644635"/>
  </r>
  <r>
    <x v="13"/>
    <x v="3"/>
    <x v="0"/>
    <s v="T-Shirt"/>
    <n v="29394"/>
    <n v="11"/>
    <n v="23441"/>
    <n v="5953"/>
    <n v="0.20252432469211404"/>
  </r>
  <r>
    <x v="33"/>
    <x v="3"/>
    <x v="2"/>
    <s v="Smartphone"/>
    <n v="15829"/>
    <n v="3"/>
    <n v="12442"/>
    <n v="3387"/>
    <n v="0.21397435087497632"/>
  </r>
  <r>
    <x v="38"/>
    <x v="1"/>
    <x v="0"/>
    <s v="Kids Wear"/>
    <n v="29591"/>
    <n v="18"/>
    <n v="21473"/>
    <n v="8118"/>
    <n v="0.27434017099793856"/>
  </r>
  <r>
    <x v="39"/>
    <x v="0"/>
    <x v="2"/>
    <s v="Headphones"/>
    <n v="13941"/>
    <n v="12"/>
    <n v="9460"/>
    <n v="4481"/>
    <n v="0.32142600961193601"/>
  </r>
  <r>
    <x v="40"/>
    <x v="2"/>
    <x v="0"/>
    <s v="Jeans"/>
    <n v="24273"/>
    <n v="3"/>
    <n v="20563"/>
    <n v="3710"/>
    <n v="0.15284472459110945"/>
  </r>
  <r>
    <x v="41"/>
    <x v="2"/>
    <x v="1"/>
    <s v="Office Chair"/>
    <n v="28069"/>
    <n v="11"/>
    <n v="17804"/>
    <n v="10265"/>
    <n v="0.36570593893619296"/>
  </r>
  <r>
    <x v="4"/>
    <x v="2"/>
    <x v="0"/>
    <s v="T-Shirt"/>
    <n v="36564"/>
    <n v="3"/>
    <n v="29719"/>
    <n v="6845"/>
    <n v="0.18720599496772783"/>
  </r>
  <r>
    <x v="42"/>
    <x v="2"/>
    <x v="1"/>
    <s v="Office Chair"/>
    <n v="27006"/>
    <n v="13"/>
    <n v="17874"/>
    <n v="9132"/>
    <n v="0.33814707842701625"/>
  </r>
  <r>
    <x v="43"/>
    <x v="2"/>
    <x v="0"/>
    <s v="Jacket"/>
    <n v="28814"/>
    <n v="13"/>
    <n v="21091"/>
    <n v="7723"/>
    <n v="0.2680294301381273"/>
  </r>
  <r>
    <x v="44"/>
    <x v="0"/>
    <x v="2"/>
    <s v="Headphones"/>
    <n v="26283"/>
    <n v="5"/>
    <n v="15925"/>
    <n v="10358"/>
    <n v="0.39409504242285887"/>
  </r>
  <r>
    <x v="45"/>
    <x v="1"/>
    <x v="2"/>
    <s v="Smart Watch"/>
    <n v="30978"/>
    <n v="7"/>
    <n v="21278"/>
    <n v="9700"/>
    <n v="0.31312544386338692"/>
  </r>
  <r>
    <x v="37"/>
    <x v="1"/>
    <x v="1"/>
    <s v="Office Chair"/>
    <n v="29927"/>
    <n v="18"/>
    <n v="21455"/>
    <n v="8472"/>
    <n v="0.28308884953386576"/>
  </r>
  <r>
    <x v="46"/>
    <x v="1"/>
    <x v="0"/>
    <s v="Kids Wear"/>
    <n v="27397"/>
    <n v="18"/>
    <n v="16988"/>
    <n v="10409"/>
    <n v="0.37993210935503885"/>
  </r>
  <r>
    <x v="47"/>
    <x v="3"/>
    <x v="0"/>
    <s v="T-Shirt"/>
    <n v="25915"/>
    <n v="20"/>
    <n v="19290"/>
    <n v="6625"/>
    <n v="0.25564344973953307"/>
  </r>
  <r>
    <x v="36"/>
    <x v="3"/>
    <x v="2"/>
    <s v="Smartphone"/>
    <n v="27740"/>
    <n v="9"/>
    <n v="20087"/>
    <n v="7653"/>
    <n v="0.27588320115356885"/>
  </r>
  <r>
    <x v="48"/>
    <x v="2"/>
    <x v="1"/>
    <s v="Table"/>
    <n v="18292"/>
    <n v="8"/>
    <n v="13301"/>
    <n v="4991"/>
    <n v="0.27285151979007216"/>
  </r>
  <r>
    <x v="49"/>
    <x v="2"/>
    <x v="0"/>
    <s v="Jacket"/>
    <n v="36797"/>
    <n v="10"/>
    <n v="22146"/>
    <n v="14651"/>
    <n v="0.39815745848846373"/>
  </r>
  <r>
    <x v="50"/>
    <x v="2"/>
    <x v="0"/>
    <s v="Jeans"/>
    <n v="26329"/>
    <n v="15"/>
    <n v="19065"/>
    <n v="7264"/>
    <n v="0.27589350146226593"/>
  </r>
  <r>
    <x v="51"/>
    <x v="3"/>
    <x v="0"/>
    <s v="T-Shirt"/>
    <n v="5405"/>
    <n v="18"/>
    <n v="3517"/>
    <n v="1888"/>
    <n v="0.34930619796484735"/>
  </r>
  <r>
    <x v="52"/>
    <x v="3"/>
    <x v="1"/>
    <s v="Sofa"/>
    <n v="25654"/>
    <n v="1"/>
    <n v="15885"/>
    <n v="9769"/>
    <n v="0.38079831605207765"/>
  </r>
  <r>
    <x v="53"/>
    <x v="1"/>
    <x v="2"/>
    <s v="Headphones"/>
    <n v="27090"/>
    <n v="15"/>
    <n v="16322"/>
    <n v="10768"/>
    <n v="0.39748984865263937"/>
  </r>
  <r>
    <x v="54"/>
    <x v="2"/>
    <x v="2"/>
    <s v="Smartphone"/>
    <n v="24620"/>
    <n v="16"/>
    <n v="15541"/>
    <n v="9079"/>
    <n v="0.36876523151909019"/>
  </r>
  <r>
    <x v="33"/>
    <x v="2"/>
    <x v="1"/>
    <s v="Bookshelf"/>
    <n v="22123"/>
    <n v="2"/>
    <n v="16002"/>
    <n v="6121"/>
    <n v="0.27668037788726663"/>
  </r>
  <r>
    <x v="22"/>
    <x v="2"/>
    <x v="2"/>
    <s v="Power Bank"/>
    <n v="22065"/>
    <n v="13"/>
    <n v="16295"/>
    <n v="5770"/>
    <n v="0.26150011330160888"/>
  </r>
  <r>
    <x v="49"/>
    <x v="2"/>
    <x v="1"/>
    <s v="Bookshelf"/>
    <n v="11030"/>
    <n v="18"/>
    <n v="6983"/>
    <n v="4047"/>
    <n v="0.36690843155031733"/>
  </r>
  <r>
    <x v="10"/>
    <x v="0"/>
    <x v="1"/>
    <s v="Office Chair"/>
    <n v="36752"/>
    <n v="16"/>
    <n v="27335"/>
    <n v="9417"/>
    <n v="0.25623095341750107"/>
  </r>
  <r>
    <x v="55"/>
    <x v="0"/>
    <x v="2"/>
    <s v="Smartphone"/>
    <n v="33607"/>
    <n v="7"/>
    <n v="21135"/>
    <n v="12472"/>
    <n v="0.37111316094861191"/>
  </r>
  <r>
    <x v="56"/>
    <x v="2"/>
    <x v="0"/>
    <s v="Jeans"/>
    <n v="8572"/>
    <n v="8"/>
    <n v="6869"/>
    <n v="1703"/>
    <n v="0.19867008866075594"/>
  </r>
  <r>
    <x v="47"/>
    <x v="1"/>
    <x v="0"/>
    <s v="T-Shirt"/>
    <n v="23969"/>
    <n v="7"/>
    <n v="18528"/>
    <n v="5441"/>
    <n v="0.22700154366056155"/>
  </r>
  <r>
    <x v="57"/>
    <x v="1"/>
    <x v="1"/>
    <s v="Sofa"/>
    <n v="16250"/>
    <n v="17"/>
    <n v="9971"/>
    <n v="6279"/>
    <n v="0.38640000000000002"/>
  </r>
  <r>
    <x v="58"/>
    <x v="1"/>
    <x v="2"/>
    <s v="Smartphone"/>
    <n v="35681"/>
    <n v="10"/>
    <n v="28035"/>
    <n v="7646"/>
    <n v="0.21428771615145314"/>
  </r>
  <r>
    <x v="59"/>
    <x v="0"/>
    <x v="2"/>
    <s v="Smart Watch"/>
    <n v="29583"/>
    <n v="7"/>
    <n v="23829"/>
    <n v="5754"/>
    <n v="0.19450360004056383"/>
  </r>
  <r>
    <x v="31"/>
    <x v="0"/>
    <x v="1"/>
    <s v="Office Chair"/>
    <n v="32138"/>
    <n v="18"/>
    <n v="20264"/>
    <n v="11874"/>
    <n v="0.36946916422926129"/>
  </r>
  <r>
    <x v="30"/>
    <x v="3"/>
    <x v="0"/>
    <s v="Kids Wear"/>
    <n v="31489"/>
    <n v="14"/>
    <n v="21943"/>
    <n v="9546"/>
    <n v="0.30315348216837623"/>
  </r>
  <r>
    <x v="60"/>
    <x v="0"/>
    <x v="0"/>
    <s v="T-Shirt"/>
    <n v="5007"/>
    <n v="16"/>
    <n v="3310"/>
    <n v="1697"/>
    <n v="0.33892550429398843"/>
  </r>
  <r>
    <x v="61"/>
    <x v="0"/>
    <x v="0"/>
    <s v="T-Shirt"/>
    <n v="17796"/>
    <n v="5"/>
    <n v="12222"/>
    <n v="5574"/>
    <n v="0.31321645313553609"/>
  </r>
  <r>
    <x v="62"/>
    <x v="3"/>
    <x v="2"/>
    <s v="Smart Watch"/>
    <n v="28975"/>
    <n v="6"/>
    <n v="19633"/>
    <n v="9342"/>
    <n v="0.32241587575496117"/>
  </r>
  <r>
    <x v="22"/>
    <x v="1"/>
    <x v="2"/>
    <s v="Smartphone"/>
    <n v="39760"/>
    <n v="7"/>
    <n v="29824"/>
    <n v="9936"/>
    <n v="0.24989939637826961"/>
  </r>
  <r>
    <x v="63"/>
    <x v="0"/>
    <x v="1"/>
    <s v="Sofa"/>
    <n v="38213"/>
    <n v="7"/>
    <n v="29406"/>
    <n v="8807"/>
    <n v="0.23047130557663623"/>
  </r>
  <r>
    <x v="64"/>
    <x v="0"/>
    <x v="2"/>
    <s v="Smartphone"/>
    <n v="32345"/>
    <n v="13"/>
    <n v="26606"/>
    <n v="5739"/>
    <n v="0.17743082392950998"/>
  </r>
  <r>
    <x v="19"/>
    <x v="3"/>
    <x v="2"/>
    <s v="Smartphone"/>
    <n v="6220"/>
    <n v="5"/>
    <n v="4546"/>
    <n v="1674"/>
    <n v="0.26913183279742764"/>
  </r>
  <r>
    <x v="38"/>
    <x v="0"/>
    <x v="1"/>
    <s v="Sofa"/>
    <n v="19168"/>
    <n v="7"/>
    <n v="14980"/>
    <n v="4188"/>
    <n v="0.21848914858096827"/>
  </r>
  <r>
    <x v="65"/>
    <x v="1"/>
    <x v="1"/>
    <s v="Sofa"/>
    <n v="38639"/>
    <n v="8"/>
    <n v="32302"/>
    <n v="6337"/>
    <n v="0.16400527963974224"/>
  </r>
  <r>
    <x v="66"/>
    <x v="3"/>
    <x v="0"/>
    <s v="Jeans"/>
    <n v="26364"/>
    <n v="13"/>
    <n v="22178"/>
    <n v="4186"/>
    <n v="0.15877712031558186"/>
  </r>
  <r>
    <x v="67"/>
    <x v="3"/>
    <x v="2"/>
    <s v="Smartphone"/>
    <n v="27893"/>
    <n v="16"/>
    <n v="17376"/>
    <n v="10517"/>
    <n v="0.37704800487577528"/>
  </r>
  <r>
    <x v="68"/>
    <x v="0"/>
    <x v="2"/>
    <s v="Smart Watch"/>
    <n v="6386"/>
    <n v="2"/>
    <n v="4171"/>
    <n v="2215"/>
    <n v="0.34685248982148448"/>
  </r>
  <r>
    <x v="69"/>
    <x v="3"/>
    <x v="2"/>
    <s v="Power Bank"/>
    <n v="17915"/>
    <n v="10"/>
    <n v="13647"/>
    <n v="4268"/>
    <n v="0.23823611498744068"/>
  </r>
  <r>
    <x v="12"/>
    <x v="3"/>
    <x v="1"/>
    <s v="Office Chair"/>
    <n v="5635"/>
    <n v="12"/>
    <n v="3949"/>
    <n v="1686"/>
    <n v="0.2992014196983141"/>
  </r>
  <r>
    <x v="70"/>
    <x v="3"/>
    <x v="2"/>
    <s v="Headphones"/>
    <n v="26033"/>
    <n v="2"/>
    <n v="21273"/>
    <n v="4760"/>
    <n v="0.18284485076633503"/>
  </r>
  <r>
    <x v="71"/>
    <x v="3"/>
    <x v="1"/>
    <s v="Sofa"/>
    <n v="10836"/>
    <n v="1"/>
    <n v="8962"/>
    <n v="1874"/>
    <n v="0.1729420450350683"/>
  </r>
  <r>
    <x v="46"/>
    <x v="1"/>
    <x v="2"/>
    <s v="Power Bank"/>
    <n v="30034"/>
    <n v="14"/>
    <n v="23304"/>
    <n v="6730"/>
    <n v="0.22407937670639941"/>
  </r>
  <r>
    <x v="72"/>
    <x v="0"/>
    <x v="1"/>
    <s v="Sofa"/>
    <n v="8358"/>
    <n v="1"/>
    <n v="5624"/>
    <n v="2734"/>
    <n v="0.32711174922230196"/>
  </r>
  <r>
    <x v="59"/>
    <x v="3"/>
    <x v="1"/>
    <s v="Table"/>
    <n v="11239"/>
    <n v="11"/>
    <n v="7131"/>
    <n v="4108"/>
    <n v="0.36551294599163625"/>
  </r>
  <r>
    <x v="73"/>
    <x v="1"/>
    <x v="1"/>
    <s v="Office Chair"/>
    <n v="13247"/>
    <n v="16"/>
    <n v="11100"/>
    <n v="2147"/>
    <n v="0.16207443194685589"/>
  </r>
  <r>
    <x v="74"/>
    <x v="2"/>
    <x v="1"/>
    <s v="Bookshelf"/>
    <n v="7382"/>
    <n v="19"/>
    <n v="6104"/>
    <n v="1278"/>
    <n v="0.17312381468436738"/>
  </r>
  <r>
    <x v="42"/>
    <x v="2"/>
    <x v="2"/>
    <s v="Smart Watch"/>
    <n v="9631"/>
    <n v="10"/>
    <n v="7804"/>
    <n v="1827"/>
    <n v="0.18969992731803551"/>
  </r>
  <r>
    <x v="31"/>
    <x v="0"/>
    <x v="1"/>
    <s v="Office Chair"/>
    <n v="11396"/>
    <n v="12"/>
    <n v="9065"/>
    <n v="2331"/>
    <n v="0.20454545454545456"/>
  </r>
  <r>
    <x v="26"/>
    <x v="0"/>
    <x v="2"/>
    <s v="Smartphone"/>
    <n v="24702"/>
    <n v="10"/>
    <n v="19056"/>
    <n v="5646"/>
    <n v="0.228564488705368"/>
  </r>
  <r>
    <x v="75"/>
    <x v="1"/>
    <x v="2"/>
    <s v="Smartphone"/>
    <n v="33190"/>
    <n v="14"/>
    <n v="22705"/>
    <n v="10485"/>
    <n v="0.31590840614642962"/>
  </r>
  <r>
    <x v="76"/>
    <x v="2"/>
    <x v="2"/>
    <s v="Smart Watch"/>
    <n v="10851"/>
    <n v="5"/>
    <n v="8475"/>
    <n v="2376"/>
    <n v="0.21896599391761129"/>
  </r>
  <r>
    <x v="64"/>
    <x v="2"/>
    <x v="1"/>
    <s v="Table"/>
    <n v="12211"/>
    <n v="6"/>
    <n v="8949"/>
    <n v="3262"/>
    <n v="0.26713618868233557"/>
  </r>
  <r>
    <x v="77"/>
    <x v="0"/>
    <x v="1"/>
    <s v="Bookshelf"/>
    <n v="23371"/>
    <n v="15"/>
    <n v="18037"/>
    <n v="5334"/>
    <n v="0.22823156903855205"/>
  </r>
  <r>
    <x v="78"/>
    <x v="0"/>
    <x v="1"/>
    <s v="Table"/>
    <n v="22883"/>
    <n v="14"/>
    <n v="19050"/>
    <n v="3833"/>
    <n v="0.16750426080496439"/>
  </r>
  <r>
    <x v="17"/>
    <x v="0"/>
    <x v="1"/>
    <s v="Table"/>
    <n v="34995"/>
    <n v="2"/>
    <n v="22091"/>
    <n v="12904"/>
    <n v="0.36873839119874269"/>
  </r>
  <r>
    <x v="79"/>
    <x v="1"/>
    <x v="2"/>
    <s v="Smartphone"/>
    <n v="33008"/>
    <n v="17"/>
    <n v="26395"/>
    <n v="6613"/>
    <n v="0.20034537081919535"/>
  </r>
  <r>
    <x v="8"/>
    <x v="0"/>
    <x v="1"/>
    <s v="Table"/>
    <n v="5825"/>
    <n v="7"/>
    <n v="4549"/>
    <n v="1276"/>
    <n v="0.21905579399141631"/>
  </r>
  <r>
    <x v="80"/>
    <x v="3"/>
    <x v="1"/>
    <s v="Sofa"/>
    <n v="17430"/>
    <n v="20"/>
    <n v="11808"/>
    <n v="5622"/>
    <n v="0.32254733218588638"/>
  </r>
  <r>
    <x v="3"/>
    <x v="3"/>
    <x v="2"/>
    <s v="Smartphone"/>
    <n v="11775"/>
    <n v="10"/>
    <n v="9990"/>
    <n v="1785"/>
    <n v="0.15159235668789808"/>
  </r>
  <r>
    <x v="81"/>
    <x v="1"/>
    <x v="2"/>
    <s v="Power Bank"/>
    <n v="20454"/>
    <n v="12"/>
    <n v="15528"/>
    <n v="4926"/>
    <n v="0.24083308888237021"/>
  </r>
  <r>
    <x v="82"/>
    <x v="0"/>
    <x v="0"/>
    <s v="Jeans"/>
    <n v="27460"/>
    <n v="18"/>
    <n v="20269"/>
    <n v="7191"/>
    <n v="0.26187181354697742"/>
  </r>
  <r>
    <x v="56"/>
    <x v="3"/>
    <x v="2"/>
    <s v="Power Bank"/>
    <n v="7386"/>
    <n v="1"/>
    <n v="4671"/>
    <n v="2715"/>
    <n v="0.36758732737611699"/>
  </r>
  <r>
    <x v="83"/>
    <x v="2"/>
    <x v="0"/>
    <s v="Kids Wear"/>
    <n v="35902"/>
    <n v="10"/>
    <n v="24817"/>
    <n v="11085"/>
    <n v="0.3087571723023787"/>
  </r>
  <r>
    <x v="84"/>
    <x v="0"/>
    <x v="1"/>
    <s v="Bookshelf"/>
    <n v="19031"/>
    <n v="15"/>
    <n v="16083"/>
    <n v="2948"/>
    <n v="0.1549051547475172"/>
  </r>
  <r>
    <x v="85"/>
    <x v="3"/>
    <x v="2"/>
    <s v="Smart Watch"/>
    <n v="20736"/>
    <n v="8"/>
    <n v="13824"/>
    <n v="6912"/>
    <n v="0.33333333333333331"/>
  </r>
  <r>
    <x v="21"/>
    <x v="0"/>
    <x v="2"/>
    <s v="Smart Watch"/>
    <n v="7433"/>
    <n v="15"/>
    <n v="6316"/>
    <n v="1117"/>
    <n v="0.15027579712094713"/>
  </r>
  <r>
    <x v="86"/>
    <x v="3"/>
    <x v="0"/>
    <s v="Jacket"/>
    <n v="18247"/>
    <n v="20"/>
    <n v="13790"/>
    <n v="4457"/>
    <n v="0.24425933030087138"/>
  </r>
  <r>
    <x v="1"/>
    <x v="3"/>
    <x v="1"/>
    <s v="Table"/>
    <n v="29584"/>
    <n v="3"/>
    <n v="21137"/>
    <n v="8447"/>
    <n v="0.28552595997836666"/>
  </r>
  <r>
    <x v="87"/>
    <x v="1"/>
    <x v="0"/>
    <s v="T-Shirt"/>
    <n v="18520"/>
    <n v="3"/>
    <n v="12510"/>
    <n v="6010"/>
    <n v="0.32451403887688984"/>
  </r>
  <r>
    <x v="88"/>
    <x v="2"/>
    <x v="0"/>
    <s v="Jacket"/>
    <n v="34096"/>
    <n v="5"/>
    <n v="24777"/>
    <n v="9319"/>
    <n v="0.27331651806663537"/>
  </r>
  <r>
    <x v="5"/>
    <x v="3"/>
    <x v="2"/>
    <s v="Power Bank"/>
    <n v="8864"/>
    <n v="10"/>
    <n v="6035"/>
    <n v="2829"/>
    <n v="0.31915613718411551"/>
  </r>
  <r>
    <x v="89"/>
    <x v="3"/>
    <x v="1"/>
    <s v="Bookshelf"/>
    <n v="5325"/>
    <n v="19"/>
    <n v="4202"/>
    <n v="1123"/>
    <n v="0.21089201877934272"/>
  </r>
  <r>
    <x v="4"/>
    <x v="0"/>
    <x v="0"/>
    <s v="Jeans"/>
    <n v="6645"/>
    <n v="13"/>
    <n v="5507"/>
    <n v="1138"/>
    <n v="0.17125658389766743"/>
  </r>
  <r>
    <x v="90"/>
    <x v="0"/>
    <x v="1"/>
    <s v="Table"/>
    <n v="22726"/>
    <n v="15"/>
    <n v="16483"/>
    <n v="6243"/>
    <n v="0.27470738361348235"/>
  </r>
  <r>
    <x v="19"/>
    <x v="2"/>
    <x v="1"/>
    <s v="Bookshelf"/>
    <n v="20180"/>
    <n v="5"/>
    <n v="14590"/>
    <n v="5590"/>
    <n v="0.2770069375619425"/>
  </r>
  <r>
    <x v="91"/>
    <x v="3"/>
    <x v="0"/>
    <s v="Jacket"/>
    <n v="19890"/>
    <n v="20"/>
    <n v="13372"/>
    <n v="6518"/>
    <n v="0.32770236299648065"/>
  </r>
  <r>
    <x v="44"/>
    <x v="2"/>
    <x v="2"/>
    <s v="Headphones"/>
    <n v="22761"/>
    <n v="4"/>
    <n v="15711"/>
    <n v="7050"/>
    <n v="0.30974034532753392"/>
  </r>
  <r>
    <x v="69"/>
    <x v="1"/>
    <x v="1"/>
    <s v="Office Chair"/>
    <n v="16419"/>
    <n v="20"/>
    <n v="12602"/>
    <n v="3817"/>
    <n v="0.23247457214203057"/>
  </r>
  <r>
    <x v="92"/>
    <x v="3"/>
    <x v="1"/>
    <s v="Sofa"/>
    <n v="10830"/>
    <n v="11"/>
    <n v="8710"/>
    <n v="2120"/>
    <n v="0.19575253924284394"/>
  </r>
  <r>
    <x v="93"/>
    <x v="0"/>
    <x v="0"/>
    <s v="Jacket"/>
    <n v="37472"/>
    <n v="5"/>
    <n v="28003"/>
    <n v="9469"/>
    <n v="0.25269534585824083"/>
  </r>
  <r>
    <x v="94"/>
    <x v="1"/>
    <x v="0"/>
    <s v="Jacket"/>
    <n v="22984"/>
    <n v="9"/>
    <n v="16370"/>
    <n v="6614"/>
    <n v="0.28776540201879569"/>
  </r>
  <r>
    <x v="95"/>
    <x v="3"/>
    <x v="2"/>
    <s v="Smart Watch"/>
    <n v="31478"/>
    <n v="16"/>
    <n v="21587"/>
    <n v="9891"/>
    <n v="0.31421945485736069"/>
  </r>
  <r>
    <x v="94"/>
    <x v="2"/>
    <x v="1"/>
    <s v="Office Chair"/>
    <n v="6656"/>
    <n v="9"/>
    <n v="4396"/>
    <n v="2260"/>
    <n v="0.33954326923076922"/>
  </r>
  <r>
    <x v="96"/>
    <x v="3"/>
    <x v="2"/>
    <s v="Headphones"/>
    <n v="27800"/>
    <n v="2"/>
    <n v="16867"/>
    <n v="10933"/>
    <n v="0.39327338129496403"/>
  </r>
  <r>
    <x v="87"/>
    <x v="3"/>
    <x v="1"/>
    <s v="Bookshelf"/>
    <n v="29137"/>
    <n v="8"/>
    <n v="23515"/>
    <n v="5622"/>
    <n v="0.19295054398187872"/>
  </r>
  <r>
    <x v="97"/>
    <x v="1"/>
    <x v="0"/>
    <s v="T-Shirt"/>
    <n v="32731"/>
    <n v="10"/>
    <n v="23277"/>
    <n v="9454"/>
    <n v="0.28883932663224465"/>
  </r>
  <r>
    <x v="98"/>
    <x v="3"/>
    <x v="0"/>
    <s v="T-Shirt"/>
    <n v="16521"/>
    <n v="7"/>
    <n v="11462"/>
    <n v="5059"/>
    <n v="0.3062163307305853"/>
  </r>
  <r>
    <x v="99"/>
    <x v="3"/>
    <x v="0"/>
    <s v="Jeans"/>
    <n v="7517"/>
    <n v="5"/>
    <n v="5150"/>
    <n v="2367"/>
    <n v="0.31488625781561791"/>
  </r>
  <r>
    <x v="15"/>
    <x v="3"/>
    <x v="2"/>
    <s v="Headphones"/>
    <n v="21994"/>
    <n v="16"/>
    <n v="15031"/>
    <n v="6963"/>
    <n v="0.31658634172956263"/>
  </r>
  <r>
    <x v="100"/>
    <x v="2"/>
    <x v="2"/>
    <s v="Headphones"/>
    <n v="12977"/>
    <n v="4"/>
    <n v="8081"/>
    <n v="4896"/>
    <n v="0.37728288510441549"/>
  </r>
  <r>
    <x v="101"/>
    <x v="0"/>
    <x v="2"/>
    <s v="Power Bank"/>
    <n v="10408"/>
    <n v="11"/>
    <n v="8020"/>
    <n v="2388"/>
    <n v="0.22943889315910837"/>
  </r>
  <r>
    <x v="16"/>
    <x v="1"/>
    <x v="2"/>
    <s v="Headphones"/>
    <n v="24340"/>
    <n v="7"/>
    <n v="14784"/>
    <n v="9556"/>
    <n v="0.39260476581758424"/>
  </r>
  <r>
    <x v="91"/>
    <x v="0"/>
    <x v="1"/>
    <s v="Table"/>
    <n v="16273"/>
    <n v="5"/>
    <n v="11687"/>
    <n v="4586"/>
    <n v="0.28181650586861673"/>
  </r>
  <r>
    <x v="30"/>
    <x v="2"/>
    <x v="2"/>
    <s v="Power Bank"/>
    <n v="26122"/>
    <n v="15"/>
    <n v="19124"/>
    <n v="6998"/>
    <n v="0.2678967919761121"/>
  </r>
  <r>
    <x v="81"/>
    <x v="3"/>
    <x v="1"/>
    <s v="Office Chair"/>
    <n v="25044"/>
    <n v="1"/>
    <n v="20683"/>
    <n v="4361"/>
    <n v="0.17413352499600704"/>
  </r>
  <r>
    <x v="102"/>
    <x v="0"/>
    <x v="2"/>
    <s v="Power Bank"/>
    <n v="13673"/>
    <n v="16"/>
    <n v="9304"/>
    <n v="4369"/>
    <n v="0.31953484970379581"/>
  </r>
  <r>
    <x v="87"/>
    <x v="1"/>
    <x v="0"/>
    <s v="T-Shirt"/>
    <n v="37886"/>
    <n v="6"/>
    <n v="27799"/>
    <n v="10087"/>
    <n v="0.266246106741276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C20" firstHeaderRow="1" firstDataRow="1" firstDataCol="0"/>
  <pivotFields count="10">
    <pivotField numFmtId="164" showAll="0">
      <items count="15">
        <item x="0"/>
        <item x="1"/>
        <item x="2"/>
        <item x="3"/>
        <item x="4"/>
        <item x="5"/>
        <item x="6"/>
        <item x="7"/>
        <item x="8"/>
        <item x="9"/>
        <item x="10"/>
        <item x="11"/>
        <item x="12"/>
        <item x="13"/>
        <item t="default"/>
      </items>
    </pivotField>
    <pivotField showAll="0">
      <items count="5">
        <item x="2"/>
        <item x="1"/>
        <item x="3"/>
        <item x="0"/>
        <item t="default"/>
      </items>
    </pivotField>
    <pivotField showAll="0">
      <items count="4">
        <item x="0"/>
        <item x="2"/>
        <item x="1"/>
        <item t="default"/>
      </items>
    </pivotField>
    <pivotField showAll="0"/>
    <pivotField showAll="0"/>
    <pivotField showAll="0"/>
    <pivotField showAll="0"/>
    <pivotField numFmtId="165" showAll="0"/>
    <pivotField showAll="0"/>
    <pivotField showAll="0" defaultSubtotal="0">
      <items count="3">
        <item x="0"/>
        <item x="1"/>
        <item x="2"/>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12:I20" firstHeaderRow="1" firstDataRow="1" firstDataCol="1"/>
  <pivotFields count="10">
    <pivotField axis="axisRow" numFmtId="164" showAll="0">
      <items count="15">
        <item x="0"/>
        <item x="1"/>
        <item x="2"/>
        <item x="3"/>
        <item x="4"/>
        <item x="5"/>
        <item x="6"/>
        <item x="7"/>
        <item x="8"/>
        <item x="9"/>
        <item x="10"/>
        <item x="11"/>
        <item x="12"/>
        <item x="13"/>
        <item t="default"/>
      </items>
    </pivotField>
    <pivotField showAll="0">
      <items count="5">
        <item x="2"/>
        <item x="1"/>
        <item x="3"/>
        <item x="0"/>
        <item t="default"/>
      </items>
    </pivotField>
    <pivotField showAll="0">
      <items count="4">
        <item x="0"/>
        <item x="2"/>
        <item x="1"/>
        <item t="default"/>
      </items>
    </pivotField>
    <pivotField showAll="0"/>
    <pivotField dataField="1" showAll="0"/>
    <pivotField showAll="0"/>
    <pivotField showAll="0"/>
    <pivotField numFmtId="165" showAll="0"/>
    <pivotField showAll="0"/>
    <pivotField axis="axisRow" showAll="0" defaultSubtotal="0">
      <items count="3">
        <item x="0"/>
        <item x="1"/>
        <item x="2"/>
      </items>
    </pivotField>
  </pivotFields>
  <rowFields count="2">
    <field x="9"/>
    <field x="0"/>
  </rowFields>
  <rowItems count="8">
    <i>
      <x v="1"/>
    </i>
    <i r="1">
      <x v="1"/>
    </i>
    <i r="1">
      <x v="2"/>
    </i>
    <i r="1">
      <x v="3"/>
    </i>
    <i r="1">
      <x v="4"/>
    </i>
    <i r="1">
      <x v="5"/>
    </i>
    <i r="1">
      <x v="6"/>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K4:L8"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2"/>
        <item x="1"/>
        <item x="3"/>
        <item x="0"/>
        <item t="default"/>
      </items>
    </pivotField>
    <pivotField axis="axisRow" showAll="0">
      <items count="4">
        <item x="0"/>
        <item x="2"/>
        <item x="1"/>
        <item t="default"/>
      </items>
    </pivotField>
    <pivotField showAll="0"/>
    <pivotField showAll="0"/>
    <pivotField showAll="0"/>
    <pivotField showAll="0"/>
    <pivotField dataField="1" numFmtId="165" showAll="0"/>
    <pivotField showAll="0"/>
    <pivotField showAll="0" defaultSubtotal="0">
      <items count="3">
        <item x="0"/>
        <item x="1"/>
        <item x="2"/>
      </items>
    </pivotField>
  </pivotFields>
  <rowFields count="1">
    <field x="2"/>
  </rowFields>
  <rowItems count="4">
    <i>
      <x/>
    </i>
    <i>
      <x v="1"/>
    </i>
    <i>
      <x v="2"/>
    </i>
    <i t="grand">
      <x/>
    </i>
  </rowItems>
  <colItems count="1">
    <i/>
  </colItems>
  <dataFields count="1">
    <dataField name="Sum of Profit "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4:I9" firstHeaderRow="1" firstDataRow="1" firstDataCol="1"/>
  <pivotFields count="10">
    <pivotField numFmtId="164" showAll="0">
      <items count="15">
        <item x="0"/>
        <item x="1"/>
        <item x="2"/>
        <item x="3"/>
        <item x="4"/>
        <item x="5"/>
        <item x="6"/>
        <item x="7"/>
        <item x="8"/>
        <item x="9"/>
        <item x="10"/>
        <item x="11"/>
        <item x="12"/>
        <item x="13"/>
        <item t="default"/>
      </items>
    </pivotField>
    <pivotField axis="axisRow" showAll="0">
      <items count="5">
        <item x="2"/>
        <item x="1"/>
        <item x="3"/>
        <item x="0"/>
        <item t="default"/>
      </items>
    </pivotField>
    <pivotField showAll="0">
      <items count="4">
        <item x="0"/>
        <item x="2"/>
        <item x="1"/>
        <item t="default"/>
      </items>
    </pivotField>
    <pivotField showAll="0"/>
    <pivotField dataField="1" showAll="0"/>
    <pivotField showAll="0"/>
    <pivotField showAll="0"/>
    <pivotField numFmtId="165" showAll="0"/>
    <pivotField showAll="0"/>
    <pivotField showAll="0" defaultSubtotal="0">
      <items count="3">
        <item x="0"/>
        <item x="1"/>
        <item x="2"/>
      </items>
    </pivotField>
  </pivotFields>
  <rowFields count="1">
    <field x="1"/>
  </rowFields>
  <rowItems count="5">
    <i>
      <x/>
    </i>
    <i>
      <x v="1"/>
    </i>
    <i>
      <x v="2"/>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4"/>
  </pivotTables>
  <data>
    <tabular pivotCacheId="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PivotTable1"/>
    <pivotTable tabId="2" name="PivotTable2"/>
    <pivotTable tabId="2" name="PivotTable3"/>
    <pivotTable tabId="2"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 Category"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Product Category 1" cache="Slicer_Product_Category" caption="Product Category" rowHeight="241300"/>
</slicers>
</file>

<file path=xl/tables/table1.xml><?xml version="1.0" encoding="utf-8"?>
<table xmlns="http://schemas.openxmlformats.org/spreadsheetml/2006/main" id="1" name="Sales_Data" displayName="Sales_Data" ref="A1:I151" totalsRowShown="0">
  <autoFilter ref="A1:I151"/>
  <tableColumns count="9">
    <tableColumn id="1" name="Order Date" dataDxfId="8"/>
    <tableColumn id="2" name="Region" dataDxfId="7"/>
    <tableColumn id="3" name="Product Category" dataDxfId="6"/>
    <tableColumn id="4" name="Product Name" dataDxfId="5"/>
    <tableColumn id="5" name="Sales" dataDxfId="4"/>
    <tableColumn id="6" name="Quantity" dataDxfId="3"/>
    <tableColumn id="7" name="Cost" dataDxfId="2"/>
    <tableColumn id="8" name="Profit " dataDxfId="1">
      <calculatedColumnFormula>Sales_Data[[#This Row],[Sales]]-Sales_Data[[#This Row],[Cost]]</calculatedColumnFormula>
    </tableColumn>
    <tableColumn id="9" name="Profit Margin %" dataDxfId="0" dataCellStyle="Percent">
      <calculatedColumnFormula>Sales_Data[[#This Row],[Profit ]]/Sales_Data[[#This Row],[Sales]]</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1"/>
  <sheetViews>
    <sheetView tabSelected="1" workbookViewId="0">
      <selection activeCell="K6" sqref="K6"/>
    </sheetView>
  </sheetViews>
  <sheetFormatPr defaultRowHeight="14.5" x14ac:dyDescent="0.35"/>
  <cols>
    <col min="1" max="1" width="12.26953125" customWidth="1"/>
    <col min="2" max="2" width="8.54296875" customWidth="1"/>
    <col min="3" max="3" width="9.7265625" customWidth="1"/>
    <col min="4" max="4" width="15.36328125" customWidth="1"/>
    <col min="5" max="5" width="10.1796875" customWidth="1"/>
    <col min="6" max="6" width="10.6328125" customWidth="1"/>
    <col min="7" max="7" width="8.90625" customWidth="1"/>
    <col min="8" max="8" width="10.81640625" customWidth="1"/>
    <col min="9" max="9" width="18.08984375" customWidth="1"/>
  </cols>
  <sheetData>
    <row r="1" spans="1:9" x14ac:dyDescent="0.35">
      <c r="A1" t="s">
        <v>0</v>
      </c>
      <c r="B1" t="s">
        <v>1</v>
      </c>
      <c r="C1" t="s">
        <v>2</v>
      </c>
      <c r="D1" t="s">
        <v>3</v>
      </c>
      <c r="E1" t="s">
        <v>4</v>
      </c>
      <c r="F1" t="s">
        <v>5</v>
      </c>
      <c r="G1" t="s">
        <v>6</v>
      </c>
      <c r="H1" s="2" t="s">
        <v>26</v>
      </c>
      <c r="I1" s="1" t="s">
        <v>27</v>
      </c>
    </row>
    <row r="2" spans="1:9" x14ac:dyDescent="0.35">
      <c r="A2" s="22">
        <v>45309</v>
      </c>
      <c r="B2" s="23" t="s">
        <v>7</v>
      </c>
      <c r="C2" s="23" t="s">
        <v>8</v>
      </c>
      <c r="D2" s="23" t="s">
        <v>9</v>
      </c>
      <c r="E2" s="23">
        <v>25234</v>
      </c>
      <c r="F2" s="23">
        <v>3</v>
      </c>
      <c r="G2" s="23">
        <v>20491</v>
      </c>
      <c r="H2" s="24">
        <f>Sales_Data[[#This Row],[Sales]]-Sales_Data[[#This Row],[Cost]]</f>
        <v>4743</v>
      </c>
      <c r="I2" s="25">
        <f>Sales_Data[[#This Row],[Profit ]]/Sales_Data[[#This Row],[Sales]]</f>
        <v>0.18796068796068796</v>
      </c>
    </row>
    <row r="3" spans="1:9" x14ac:dyDescent="0.35">
      <c r="A3" s="22">
        <v>45455</v>
      </c>
      <c r="B3" s="23" t="s">
        <v>10</v>
      </c>
      <c r="C3" s="23" t="s">
        <v>11</v>
      </c>
      <c r="D3" s="23" t="s">
        <v>12</v>
      </c>
      <c r="E3" s="23">
        <v>8225</v>
      </c>
      <c r="F3" s="23">
        <v>20</v>
      </c>
      <c r="G3" s="23">
        <v>6324</v>
      </c>
      <c r="H3" s="24">
        <f>Sales_Data[[#This Row],[Sales]]-Sales_Data[[#This Row],[Cost]]</f>
        <v>1901</v>
      </c>
      <c r="I3" s="25">
        <f>Sales_Data[[#This Row],[Profit ]]/Sales_Data[[#This Row],[Sales]]</f>
        <v>0.23112462006079026</v>
      </c>
    </row>
    <row r="4" spans="1:9" x14ac:dyDescent="0.35">
      <c r="A4" s="22">
        <v>45377</v>
      </c>
      <c r="B4" s="23" t="s">
        <v>13</v>
      </c>
      <c r="C4" s="23" t="s">
        <v>11</v>
      </c>
      <c r="D4" s="23" t="s">
        <v>12</v>
      </c>
      <c r="E4" s="23">
        <v>14028</v>
      </c>
      <c r="F4" s="23">
        <v>9</v>
      </c>
      <c r="G4" s="23">
        <v>10454</v>
      </c>
      <c r="H4" s="24">
        <f>Sales_Data[[#This Row],[Sales]]-Sales_Data[[#This Row],[Cost]]</f>
        <v>3574</v>
      </c>
      <c r="I4" s="25">
        <f>Sales_Data[[#This Row],[Profit ]]/Sales_Data[[#This Row],[Sales]]</f>
        <v>0.2547761619617907</v>
      </c>
    </row>
    <row r="5" spans="1:9" x14ac:dyDescent="0.35">
      <c r="A5" s="22">
        <v>45314</v>
      </c>
      <c r="B5" s="23" t="s">
        <v>7</v>
      </c>
      <c r="C5" s="23" t="s">
        <v>11</v>
      </c>
      <c r="D5" s="23" t="s">
        <v>14</v>
      </c>
      <c r="E5" s="23">
        <v>15150</v>
      </c>
      <c r="F5" s="23">
        <v>19</v>
      </c>
      <c r="G5" s="23">
        <v>10207</v>
      </c>
      <c r="H5" s="24">
        <f>Sales_Data[[#This Row],[Sales]]-Sales_Data[[#This Row],[Cost]]</f>
        <v>4943</v>
      </c>
      <c r="I5" s="25">
        <f>Sales_Data[[#This Row],[Profit ]]/Sales_Data[[#This Row],[Sales]]</f>
        <v>0.32627062706270626</v>
      </c>
    </row>
    <row r="6" spans="1:9" x14ac:dyDescent="0.35">
      <c r="A6" s="22">
        <v>45312</v>
      </c>
      <c r="B6" s="23" t="s">
        <v>10</v>
      </c>
      <c r="C6" s="23" t="s">
        <v>15</v>
      </c>
      <c r="D6" s="23" t="s">
        <v>16</v>
      </c>
      <c r="E6" s="23">
        <v>37491</v>
      </c>
      <c r="F6" s="23">
        <v>15</v>
      </c>
      <c r="G6" s="23">
        <v>27868</v>
      </c>
      <c r="H6" s="24">
        <f>Sales_Data[[#This Row],[Sales]]-Sales_Data[[#This Row],[Cost]]</f>
        <v>9623</v>
      </c>
      <c r="I6" s="25">
        <f>Sales_Data[[#This Row],[Profit ]]/Sales_Data[[#This Row],[Sales]]</f>
        <v>0.2566749353178096</v>
      </c>
    </row>
    <row r="7" spans="1:9" x14ac:dyDescent="0.35">
      <c r="A7" s="22">
        <v>45387</v>
      </c>
      <c r="B7" s="23" t="s">
        <v>17</v>
      </c>
      <c r="C7" s="23" t="s">
        <v>15</v>
      </c>
      <c r="D7" s="23" t="s">
        <v>18</v>
      </c>
      <c r="E7" s="23">
        <v>17263</v>
      </c>
      <c r="F7" s="23">
        <v>5</v>
      </c>
      <c r="G7" s="23">
        <v>10965</v>
      </c>
      <c r="H7" s="24">
        <f>Sales_Data[[#This Row],[Sales]]-Sales_Data[[#This Row],[Cost]]</f>
        <v>6298</v>
      </c>
      <c r="I7" s="25">
        <f>Sales_Data[[#This Row],[Profit ]]/Sales_Data[[#This Row],[Sales]]</f>
        <v>0.36482650755952034</v>
      </c>
    </row>
    <row r="8" spans="1:9" x14ac:dyDescent="0.35">
      <c r="A8" s="22">
        <v>45410</v>
      </c>
      <c r="B8" s="23" t="s">
        <v>17</v>
      </c>
      <c r="C8" s="23" t="s">
        <v>11</v>
      </c>
      <c r="D8" s="23" t="s">
        <v>19</v>
      </c>
      <c r="E8" s="23">
        <v>26272</v>
      </c>
      <c r="F8" s="23">
        <v>3</v>
      </c>
      <c r="G8" s="23">
        <v>17883</v>
      </c>
      <c r="H8" s="24">
        <f>Sales_Data[[#This Row],[Sales]]-Sales_Data[[#This Row],[Cost]]</f>
        <v>8389</v>
      </c>
      <c r="I8" s="25">
        <f>Sales_Data[[#This Row],[Profit ]]/Sales_Data[[#This Row],[Sales]]</f>
        <v>0.31931333739342266</v>
      </c>
    </row>
    <row r="9" spans="1:9" x14ac:dyDescent="0.35">
      <c r="A9" s="22">
        <v>45331</v>
      </c>
      <c r="B9" s="23" t="s">
        <v>13</v>
      </c>
      <c r="C9" s="23" t="s">
        <v>8</v>
      </c>
      <c r="D9" s="23" t="s">
        <v>20</v>
      </c>
      <c r="E9" s="23">
        <v>9394</v>
      </c>
      <c r="F9" s="23">
        <v>12</v>
      </c>
      <c r="G9" s="23">
        <v>7125</v>
      </c>
      <c r="H9" s="24">
        <f>Sales_Data[[#This Row],[Sales]]-Sales_Data[[#This Row],[Cost]]</f>
        <v>2269</v>
      </c>
      <c r="I9" s="25">
        <f>Sales_Data[[#This Row],[Profit ]]/Sales_Data[[#This Row],[Sales]]</f>
        <v>0.24153715137321694</v>
      </c>
    </row>
    <row r="10" spans="1:9" x14ac:dyDescent="0.35">
      <c r="A10" s="22">
        <v>45314</v>
      </c>
      <c r="B10" s="23" t="s">
        <v>13</v>
      </c>
      <c r="C10" s="23" t="s">
        <v>15</v>
      </c>
      <c r="D10" s="23" t="s">
        <v>21</v>
      </c>
      <c r="E10" s="23">
        <v>35332</v>
      </c>
      <c r="F10" s="23">
        <v>17</v>
      </c>
      <c r="G10" s="23">
        <v>25102</v>
      </c>
      <c r="H10" s="24">
        <f>Sales_Data[[#This Row],[Sales]]-Sales_Data[[#This Row],[Cost]]</f>
        <v>10230</v>
      </c>
      <c r="I10" s="25">
        <f>Sales_Data[[#This Row],[Profit ]]/Sales_Data[[#This Row],[Sales]]</f>
        <v>0.28953922789539227</v>
      </c>
    </row>
    <row r="11" spans="1:9" x14ac:dyDescent="0.35">
      <c r="A11" s="22">
        <v>45377</v>
      </c>
      <c r="B11" s="23" t="s">
        <v>7</v>
      </c>
      <c r="C11" s="23" t="s">
        <v>15</v>
      </c>
      <c r="D11" s="23" t="s">
        <v>16</v>
      </c>
      <c r="E11" s="23">
        <v>16920</v>
      </c>
      <c r="F11" s="23">
        <v>16</v>
      </c>
      <c r="G11" s="23">
        <v>11593</v>
      </c>
      <c r="H11" s="24">
        <f>Sales_Data[[#This Row],[Sales]]-Sales_Data[[#This Row],[Cost]]</f>
        <v>5327</v>
      </c>
      <c r="I11" s="25">
        <f>Sales_Data[[#This Row],[Profit ]]/Sales_Data[[#This Row],[Sales]]</f>
        <v>0.31483451536643026</v>
      </c>
    </row>
    <row r="12" spans="1:9" x14ac:dyDescent="0.35">
      <c r="A12" s="22">
        <v>45456</v>
      </c>
      <c r="B12" s="23" t="s">
        <v>13</v>
      </c>
      <c r="C12" s="23" t="s">
        <v>15</v>
      </c>
      <c r="D12" s="23" t="s">
        <v>22</v>
      </c>
      <c r="E12" s="23">
        <v>37297</v>
      </c>
      <c r="F12" s="23">
        <v>8</v>
      </c>
      <c r="G12" s="23">
        <v>31276</v>
      </c>
      <c r="H12" s="24">
        <f>Sales_Data[[#This Row],[Sales]]-Sales_Data[[#This Row],[Cost]]</f>
        <v>6021</v>
      </c>
      <c r="I12" s="25">
        <f>Sales_Data[[#This Row],[Profit ]]/Sales_Data[[#This Row],[Sales]]</f>
        <v>0.16143389548757273</v>
      </c>
    </row>
    <row r="13" spans="1:9" x14ac:dyDescent="0.35">
      <c r="A13" s="22">
        <v>45364</v>
      </c>
      <c r="B13" s="23" t="s">
        <v>13</v>
      </c>
      <c r="C13" s="23" t="s">
        <v>8</v>
      </c>
      <c r="D13" s="23" t="s">
        <v>23</v>
      </c>
      <c r="E13" s="23">
        <v>33513</v>
      </c>
      <c r="F13" s="23">
        <v>19</v>
      </c>
      <c r="G13" s="23">
        <v>25248</v>
      </c>
      <c r="H13" s="24">
        <f>Sales_Data[[#This Row],[Sales]]-Sales_Data[[#This Row],[Cost]]</f>
        <v>8265</v>
      </c>
      <c r="I13" s="25">
        <f>Sales_Data[[#This Row],[Profit ]]/Sales_Data[[#This Row],[Sales]]</f>
        <v>0.24662071434965535</v>
      </c>
    </row>
    <row r="14" spans="1:9" x14ac:dyDescent="0.35">
      <c r="A14" s="22">
        <v>45459</v>
      </c>
      <c r="B14" s="23" t="s">
        <v>13</v>
      </c>
      <c r="C14" s="23" t="s">
        <v>8</v>
      </c>
      <c r="D14" s="23" t="s">
        <v>9</v>
      </c>
      <c r="E14" s="23">
        <v>35062</v>
      </c>
      <c r="F14" s="23">
        <v>7</v>
      </c>
      <c r="G14" s="23">
        <v>26145</v>
      </c>
      <c r="H14" s="24">
        <f>Sales_Data[[#This Row],[Sales]]-Sales_Data[[#This Row],[Cost]]</f>
        <v>8917</v>
      </c>
      <c r="I14" s="25">
        <f>Sales_Data[[#This Row],[Profit ]]/Sales_Data[[#This Row],[Sales]]</f>
        <v>0.2543209172323313</v>
      </c>
    </row>
    <row r="15" spans="1:9" x14ac:dyDescent="0.35">
      <c r="A15" s="22">
        <v>45446</v>
      </c>
      <c r="B15" s="23" t="s">
        <v>7</v>
      </c>
      <c r="C15" s="23" t="s">
        <v>15</v>
      </c>
      <c r="D15" s="23" t="s">
        <v>22</v>
      </c>
      <c r="E15" s="23">
        <v>19742</v>
      </c>
      <c r="F15" s="23">
        <v>15</v>
      </c>
      <c r="G15" s="23">
        <v>13086</v>
      </c>
      <c r="H15" s="24">
        <f>Sales_Data[[#This Row],[Sales]]-Sales_Data[[#This Row],[Cost]]</f>
        <v>6656</v>
      </c>
      <c r="I15" s="25">
        <f>Sales_Data[[#This Row],[Profit ]]/Sales_Data[[#This Row],[Sales]]</f>
        <v>0.33714922500253269</v>
      </c>
    </row>
    <row r="16" spans="1:9" x14ac:dyDescent="0.35">
      <c r="A16" s="22">
        <v>45413</v>
      </c>
      <c r="B16" s="23" t="s">
        <v>10</v>
      </c>
      <c r="C16" s="23" t="s">
        <v>11</v>
      </c>
      <c r="D16" s="23" t="s">
        <v>14</v>
      </c>
      <c r="E16" s="23">
        <v>8951</v>
      </c>
      <c r="F16" s="23">
        <v>12</v>
      </c>
      <c r="G16" s="23">
        <v>5612</v>
      </c>
      <c r="H16" s="24">
        <f>Sales_Data[[#This Row],[Sales]]-Sales_Data[[#This Row],[Cost]]</f>
        <v>3339</v>
      </c>
      <c r="I16" s="25">
        <f>Sales_Data[[#This Row],[Profit ]]/Sales_Data[[#This Row],[Sales]]</f>
        <v>0.37303094626298738</v>
      </c>
    </row>
    <row r="17" spans="1:9" x14ac:dyDescent="0.35">
      <c r="A17" s="22">
        <v>45429</v>
      </c>
      <c r="B17" s="23" t="s">
        <v>10</v>
      </c>
      <c r="C17" s="23" t="s">
        <v>11</v>
      </c>
      <c r="D17" s="23" t="s">
        <v>14</v>
      </c>
      <c r="E17" s="23">
        <v>30050</v>
      </c>
      <c r="F17" s="23">
        <v>17</v>
      </c>
      <c r="G17" s="23">
        <v>19559</v>
      </c>
      <c r="H17" s="24">
        <f>Sales_Data[[#This Row],[Sales]]-Sales_Data[[#This Row],[Cost]]</f>
        <v>10491</v>
      </c>
      <c r="I17" s="25">
        <f>Sales_Data[[#This Row],[Profit ]]/Sales_Data[[#This Row],[Sales]]</f>
        <v>0.34911813643926787</v>
      </c>
    </row>
    <row r="18" spans="1:9" x14ac:dyDescent="0.35">
      <c r="A18" s="22">
        <v>45435</v>
      </c>
      <c r="B18" s="23" t="s">
        <v>17</v>
      </c>
      <c r="C18" s="23" t="s">
        <v>8</v>
      </c>
      <c r="D18" s="23" t="s">
        <v>9</v>
      </c>
      <c r="E18" s="23">
        <v>13121</v>
      </c>
      <c r="F18" s="23">
        <v>2</v>
      </c>
      <c r="G18" s="23">
        <v>10292</v>
      </c>
      <c r="H18" s="24">
        <f>Sales_Data[[#This Row],[Sales]]-Sales_Data[[#This Row],[Cost]]</f>
        <v>2829</v>
      </c>
      <c r="I18" s="25">
        <f>Sales_Data[[#This Row],[Profit ]]/Sales_Data[[#This Row],[Sales]]</f>
        <v>0.21560856642024237</v>
      </c>
    </row>
    <row r="19" spans="1:9" x14ac:dyDescent="0.35">
      <c r="A19" s="22">
        <v>45452</v>
      </c>
      <c r="B19" s="23" t="s">
        <v>13</v>
      </c>
      <c r="C19" s="23" t="s">
        <v>8</v>
      </c>
      <c r="D19" s="23" t="s">
        <v>9</v>
      </c>
      <c r="E19" s="23">
        <v>17377</v>
      </c>
      <c r="F19" s="23">
        <v>8</v>
      </c>
      <c r="G19" s="23">
        <v>13996</v>
      </c>
      <c r="H19" s="24">
        <f>Sales_Data[[#This Row],[Sales]]-Sales_Data[[#This Row],[Cost]]</f>
        <v>3381</v>
      </c>
      <c r="I19" s="25">
        <f>Sales_Data[[#This Row],[Profit ]]/Sales_Data[[#This Row],[Sales]]</f>
        <v>0.1945675317949013</v>
      </c>
    </row>
    <row r="20" spans="1:9" x14ac:dyDescent="0.35">
      <c r="A20" s="22">
        <v>45416</v>
      </c>
      <c r="B20" s="23" t="s">
        <v>7</v>
      </c>
      <c r="C20" s="23" t="s">
        <v>11</v>
      </c>
      <c r="D20" s="23" t="s">
        <v>14</v>
      </c>
      <c r="E20" s="23">
        <v>13757</v>
      </c>
      <c r="F20" s="23">
        <v>19</v>
      </c>
      <c r="G20" s="23">
        <v>9679</v>
      </c>
      <c r="H20" s="24">
        <f>Sales_Data[[#This Row],[Sales]]-Sales_Data[[#This Row],[Cost]]</f>
        <v>4078</v>
      </c>
      <c r="I20" s="25">
        <f>Sales_Data[[#This Row],[Profit ]]/Sales_Data[[#This Row],[Sales]]</f>
        <v>0.29643090790143201</v>
      </c>
    </row>
    <row r="21" spans="1:9" x14ac:dyDescent="0.35">
      <c r="A21" s="22">
        <v>45356</v>
      </c>
      <c r="B21" s="23" t="s">
        <v>10</v>
      </c>
      <c r="C21" s="23" t="s">
        <v>11</v>
      </c>
      <c r="D21" s="23" t="s">
        <v>12</v>
      </c>
      <c r="E21" s="23">
        <v>28257</v>
      </c>
      <c r="F21" s="23">
        <v>5</v>
      </c>
      <c r="G21" s="23">
        <v>21309</v>
      </c>
      <c r="H21" s="24">
        <f>Sales_Data[[#This Row],[Sales]]-Sales_Data[[#This Row],[Cost]]</f>
        <v>6948</v>
      </c>
      <c r="I21" s="25">
        <f>Sales_Data[[#This Row],[Profit ]]/Sales_Data[[#This Row],[Sales]]</f>
        <v>0.24588597515659835</v>
      </c>
    </row>
    <row r="22" spans="1:9" x14ac:dyDescent="0.35">
      <c r="A22" s="22">
        <v>45350</v>
      </c>
      <c r="B22" s="23" t="s">
        <v>10</v>
      </c>
      <c r="C22" s="23" t="s">
        <v>11</v>
      </c>
      <c r="D22" s="23" t="s">
        <v>24</v>
      </c>
      <c r="E22" s="23">
        <v>6555</v>
      </c>
      <c r="F22" s="23">
        <v>10</v>
      </c>
      <c r="G22" s="23">
        <v>4644</v>
      </c>
      <c r="H22" s="24">
        <f>Sales_Data[[#This Row],[Sales]]-Sales_Data[[#This Row],[Cost]]</f>
        <v>1911</v>
      </c>
      <c r="I22" s="25">
        <f>Sales_Data[[#This Row],[Profit ]]/Sales_Data[[#This Row],[Sales]]</f>
        <v>0.29153318077803203</v>
      </c>
    </row>
    <row r="23" spans="1:9" x14ac:dyDescent="0.35">
      <c r="A23" s="22">
        <v>45438</v>
      </c>
      <c r="B23" s="23" t="s">
        <v>17</v>
      </c>
      <c r="C23" s="23" t="s">
        <v>11</v>
      </c>
      <c r="D23" s="23" t="s">
        <v>19</v>
      </c>
      <c r="E23" s="23">
        <v>32954</v>
      </c>
      <c r="F23" s="23">
        <v>4</v>
      </c>
      <c r="G23" s="23">
        <v>23003</v>
      </c>
      <c r="H23" s="24">
        <f>Sales_Data[[#This Row],[Sales]]-Sales_Data[[#This Row],[Cost]]</f>
        <v>9951</v>
      </c>
      <c r="I23" s="25">
        <f>Sales_Data[[#This Row],[Profit ]]/Sales_Data[[#This Row],[Sales]]</f>
        <v>0.30196637737452209</v>
      </c>
    </row>
    <row r="24" spans="1:9" x14ac:dyDescent="0.35">
      <c r="A24" s="22">
        <v>45365</v>
      </c>
      <c r="B24" s="23" t="s">
        <v>17</v>
      </c>
      <c r="C24" s="23" t="s">
        <v>15</v>
      </c>
      <c r="D24" s="23" t="s">
        <v>22</v>
      </c>
      <c r="E24" s="23">
        <v>27016</v>
      </c>
      <c r="F24" s="23">
        <v>3</v>
      </c>
      <c r="G24" s="23">
        <v>20099</v>
      </c>
      <c r="H24" s="24">
        <f>Sales_Data[[#This Row],[Sales]]-Sales_Data[[#This Row],[Cost]]</f>
        <v>6917</v>
      </c>
      <c r="I24" s="25">
        <f>Sales_Data[[#This Row],[Profit ]]/Sales_Data[[#This Row],[Sales]]</f>
        <v>0.25603346165235413</v>
      </c>
    </row>
    <row r="25" spans="1:9" x14ac:dyDescent="0.35">
      <c r="A25" s="22">
        <v>45384</v>
      </c>
      <c r="B25" s="23" t="s">
        <v>13</v>
      </c>
      <c r="C25" s="23" t="s">
        <v>15</v>
      </c>
      <c r="D25" s="23" t="s">
        <v>21</v>
      </c>
      <c r="E25" s="23">
        <v>5443</v>
      </c>
      <c r="F25" s="23">
        <v>7</v>
      </c>
      <c r="G25" s="23">
        <v>3423</v>
      </c>
      <c r="H25" s="24">
        <f>Sales_Data[[#This Row],[Sales]]-Sales_Data[[#This Row],[Cost]]</f>
        <v>2020</v>
      </c>
      <c r="I25" s="25">
        <f>Sales_Data[[#This Row],[Profit ]]/Sales_Data[[#This Row],[Sales]]</f>
        <v>0.37111886827117396</v>
      </c>
    </row>
    <row r="26" spans="1:9" x14ac:dyDescent="0.35">
      <c r="A26" s="22">
        <v>45367</v>
      </c>
      <c r="B26" s="23" t="s">
        <v>17</v>
      </c>
      <c r="C26" s="23" t="s">
        <v>8</v>
      </c>
      <c r="D26" s="23" t="s">
        <v>23</v>
      </c>
      <c r="E26" s="23">
        <v>23238</v>
      </c>
      <c r="F26" s="23">
        <v>2</v>
      </c>
      <c r="G26" s="23">
        <v>17648</v>
      </c>
      <c r="H26" s="24">
        <f>Sales_Data[[#This Row],[Sales]]-Sales_Data[[#This Row],[Cost]]</f>
        <v>5590</v>
      </c>
      <c r="I26" s="25">
        <f>Sales_Data[[#This Row],[Profit ]]/Sales_Data[[#This Row],[Sales]]</f>
        <v>0.24055426456665807</v>
      </c>
    </row>
    <row r="27" spans="1:9" x14ac:dyDescent="0.35">
      <c r="A27" s="22">
        <v>45300</v>
      </c>
      <c r="B27" s="23" t="s">
        <v>17</v>
      </c>
      <c r="C27" s="23" t="s">
        <v>8</v>
      </c>
      <c r="D27" s="23" t="s">
        <v>20</v>
      </c>
      <c r="E27" s="23">
        <v>25324</v>
      </c>
      <c r="F27" s="23">
        <v>18</v>
      </c>
      <c r="G27" s="23">
        <v>18954</v>
      </c>
      <c r="H27" s="24">
        <f>Sales_Data[[#This Row],[Sales]]-Sales_Data[[#This Row],[Cost]]</f>
        <v>6370</v>
      </c>
      <c r="I27" s="25">
        <f>Sales_Data[[#This Row],[Profit ]]/Sales_Data[[#This Row],[Sales]]</f>
        <v>0.25154004106776179</v>
      </c>
    </row>
    <row r="28" spans="1:9" x14ac:dyDescent="0.35">
      <c r="A28" s="22">
        <v>45334</v>
      </c>
      <c r="B28" s="23" t="s">
        <v>10</v>
      </c>
      <c r="C28" s="23" t="s">
        <v>15</v>
      </c>
      <c r="D28" s="23" t="s">
        <v>22</v>
      </c>
      <c r="E28" s="23">
        <v>19226</v>
      </c>
      <c r="F28" s="23">
        <v>19</v>
      </c>
      <c r="G28" s="23">
        <v>13346</v>
      </c>
      <c r="H28" s="24">
        <f>Sales_Data[[#This Row],[Sales]]-Sales_Data[[#This Row],[Cost]]</f>
        <v>5880</v>
      </c>
      <c r="I28" s="25">
        <f>Sales_Data[[#This Row],[Profit ]]/Sales_Data[[#This Row],[Sales]]</f>
        <v>0.30583584729012797</v>
      </c>
    </row>
    <row r="29" spans="1:9" x14ac:dyDescent="0.35">
      <c r="A29" s="22">
        <v>45460</v>
      </c>
      <c r="B29" s="23" t="s">
        <v>17</v>
      </c>
      <c r="C29" s="23" t="s">
        <v>11</v>
      </c>
      <c r="D29" s="23" t="s">
        <v>19</v>
      </c>
      <c r="E29" s="23">
        <v>30449</v>
      </c>
      <c r="F29" s="23">
        <v>10</v>
      </c>
      <c r="G29" s="23">
        <v>20719</v>
      </c>
      <c r="H29" s="24">
        <f>Sales_Data[[#This Row],[Sales]]-Sales_Data[[#This Row],[Cost]]</f>
        <v>9730</v>
      </c>
      <c r="I29" s="25">
        <f>Sales_Data[[#This Row],[Profit ]]/Sales_Data[[#This Row],[Sales]]</f>
        <v>0.31955072416171304</v>
      </c>
    </row>
    <row r="30" spans="1:9" x14ac:dyDescent="0.35">
      <c r="A30" s="22">
        <v>45384</v>
      </c>
      <c r="B30" s="23" t="s">
        <v>10</v>
      </c>
      <c r="C30" s="23" t="s">
        <v>15</v>
      </c>
      <c r="D30" s="23" t="s">
        <v>16</v>
      </c>
      <c r="E30" s="23">
        <v>9596</v>
      </c>
      <c r="F30" s="23">
        <v>5</v>
      </c>
      <c r="G30" s="23">
        <v>7820</v>
      </c>
      <c r="H30" s="24">
        <f>Sales_Data[[#This Row],[Sales]]-Sales_Data[[#This Row],[Cost]]</f>
        <v>1776</v>
      </c>
      <c r="I30" s="25">
        <f>Sales_Data[[#This Row],[Profit ]]/Sales_Data[[#This Row],[Sales]]</f>
        <v>0.18507711546477698</v>
      </c>
    </row>
    <row r="31" spans="1:9" x14ac:dyDescent="0.35">
      <c r="A31" s="22">
        <v>45358</v>
      </c>
      <c r="B31" s="23" t="s">
        <v>7</v>
      </c>
      <c r="C31" s="23" t="s">
        <v>11</v>
      </c>
      <c r="D31" s="23" t="s">
        <v>24</v>
      </c>
      <c r="E31" s="23">
        <v>6914</v>
      </c>
      <c r="F31" s="23">
        <v>11</v>
      </c>
      <c r="G31" s="23">
        <v>5647</v>
      </c>
      <c r="H31" s="24">
        <f>Sales_Data[[#This Row],[Sales]]-Sales_Data[[#This Row],[Cost]]</f>
        <v>1267</v>
      </c>
      <c r="I31" s="25">
        <f>Sales_Data[[#This Row],[Profit ]]/Sales_Data[[#This Row],[Sales]]</f>
        <v>0.18325137402371999</v>
      </c>
    </row>
    <row r="32" spans="1:9" x14ac:dyDescent="0.35">
      <c r="A32" s="22">
        <v>45459</v>
      </c>
      <c r="B32" s="23" t="s">
        <v>13</v>
      </c>
      <c r="C32" s="23" t="s">
        <v>15</v>
      </c>
      <c r="D32" s="23" t="s">
        <v>18</v>
      </c>
      <c r="E32" s="23">
        <v>30652</v>
      </c>
      <c r="F32" s="23">
        <v>9</v>
      </c>
      <c r="G32" s="23">
        <v>20091</v>
      </c>
      <c r="H32" s="24">
        <f>Sales_Data[[#This Row],[Sales]]-Sales_Data[[#This Row],[Cost]]</f>
        <v>10561</v>
      </c>
      <c r="I32" s="25">
        <f>Sales_Data[[#This Row],[Profit ]]/Sales_Data[[#This Row],[Sales]]</f>
        <v>0.34454521727782855</v>
      </c>
    </row>
    <row r="33" spans="1:9" x14ac:dyDescent="0.35">
      <c r="A33" s="22">
        <v>45368</v>
      </c>
      <c r="B33" s="23" t="s">
        <v>7</v>
      </c>
      <c r="C33" s="23" t="s">
        <v>11</v>
      </c>
      <c r="D33" s="23" t="s">
        <v>24</v>
      </c>
      <c r="E33" s="23">
        <v>12253</v>
      </c>
      <c r="F33" s="23">
        <v>9</v>
      </c>
      <c r="G33" s="23">
        <v>8866</v>
      </c>
      <c r="H33" s="24">
        <f>Sales_Data[[#This Row],[Sales]]-Sales_Data[[#This Row],[Cost]]</f>
        <v>3387</v>
      </c>
      <c r="I33" s="25">
        <f>Sales_Data[[#This Row],[Profit ]]/Sales_Data[[#This Row],[Sales]]</f>
        <v>0.27642210071003021</v>
      </c>
    </row>
    <row r="34" spans="1:9" x14ac:dyDescent="0.35">
      <c r="A34" s="22">
        <v>45304</v>
      </c>
      <c r="B34" s="23" t="s">
        <v>7</v>
      </c>
      <c r="C34" s="23" t="s">
        <v>15</v>
      </c>
      <c r="D34" s="23" t="s">
        <v>18</v>
      </c>
      <c r="E34" s="23">
        <v>18454</v>
      </c>
      <c r="F34" s="23">
        <v>17</v>
      </c>
      <c r="G34" s="23">
        <v>11750</v>
      </c>
      <c r="H34" s="24">
        <f>Sales_Data[[#This Row],[Sales]]-Sales_Data[[#This Row],[Cost]]</f>
        <v>6704</v>
      </c>
      <c r="I34" s="25">
        <f>Sales_Data[[#This Row],[Profit ]]/Sales_Data[[#This Row],[Sales]]</f>
        <v>0.36328167334995121</v>
      </c>
    </row>
    <row r="35" spans="1:9" x14ac:dyDescent="0.35">
      <c r="A35" s="22">
        <v>45314</v>
      </c>
      <c r="B35" s="23" t="s">
        <v>13</v>
      </c>
      <c r="C35" s="23" t="s">
        <v>11</v>
      </c>
      <c r="D35" s="23" t="s">
        <v>24</v>
      </c>
      <c r="E35" s="23">
        <v>33785</v>
      </c>
      <c r="F35" s="23">
        <v>10</v>
      </c>
      <c r="G35" s="23">
        <v>23389</v>
      </c>
      <c r="H35" s="24">
        <f>Sales_Data[[#This Row],[Sales]]-Sales_Data[[#This Row],[Cost]]</f>
        <v>10396</v>
      </c>
      <c r="I35" s="25">
        <f>Sales_Data[[#This Row],[Profit ]]/Sales_Data[[#This Row],[Sales]]</f>
        <v>0.30771052242119284</v>
      </c>
    </row>
    <row r="36" spans="1:9" x14ac:dyDescent="0.35">
      <c r="A36" s="22">
        <v>45373</v>
      </c>
      <c r="B36" s="23" t="s">
        <v>13</v>
      </c>
      <c r="C36" s="23" t="s">
        <v>11</v>
      </c>
      <c r="D36" s="23" t="s">
        <v>24</v>
      </c>
      <c r="E36" s="23">
        <v>11729</v>
      </c>
      <c r="F36" s="23">
        <v>12</v>
      </c>
      <c r="G36" s="23">
        <v>7488</v>
      </c>
      <c r="H36" s="24">
        <f>Sales_Data[[#This Row],[Sales]]-Sales_Data[[#This Row],[Cost]]</f>
        <v>4241</v>
      </c>
      <c r="I36" s="25">
        <f>Sales_Data[[#This Row],[Profit ]]/Sales_Data[[#This Row],[Sales]]</f>
        <v>0.3615824025918663</v>
      </c>
    </row>
    <row r="37" spans="1:9" x14ac:dyDescent="0.35">
      <c r="A37" s="22">
        <v>45391</v>
      </c>
      <c r="B37" s="23" t="s">
        <v>7</v>
      </c>
      <c r="C37" s="23" t="s">
        <v>15</v>
      </c>
      <c r="D37" s="23" t="s">
        <v>22</v>
      </c>
      <c r="E37" s="23">
        <v>38341</v>
      </c>
      <c r="F37" s="23">
        <v>8</v>
      </c>
      <c r="G37" s="23">
        <v>30786</v>
      </c>
      <c r="H37" s="24">
        <f>Sales_Data[[#This Row],[Sales]]-Sales_Data[[#This Row],[Cost]]</f>
        <v>7555</v>
      </c>
      <c r="I37" s="25">
        <f>Sales_Data[[#This Row],[Profit ]]/Sales_Data[[#This Row],[Sales]]</f>
        <v>0.19704754701233668</v>
      </c>
    </row>
    <row r="38" spans="1:9" x14ac:dyDescent="0.35">
      <c r="A38" s="22">
        <v>45368</v>
      </c>
      <c r="B38" s="23" t="s">
        <v>7</v>
      </c>
      <c r="C38" s="23" t="s">
        <v>15</v>
      </c>
      <c r="D38" s="23" t="s">
        <v>18</v>
      </c>
      <c r="E38" s="23">
        <v>19882</v>
      </c>
      <c r="F38" s="23">
        <v>4</v>
      </c>
      <c r="G38" s="23">
        <v>15115</v>
      </c>
      <c r="H38" s="24">
        <f>Sales_Data[[#This Row],[Sales]]-Sales_Data[[#This Row],[Cost]]</f>
        <v>4767</v>
      </c>
      <c r="I38" s="25">
        <f>Sales_Data[[#This Row],[Profit ]]/Sales_Data[[#This Row],[Sales]]</f>
        <v>0.23976461120611609</v>
      </c>
    </row>
    <row r="39" spans="1:9" x14ac:dyDescent="0.35">
      <c r="A39" s="22">
        <v>45306</v>
      </c>
      <c r="B39" s="23" t="s">
        <v>13</v>
      </c>
      <c r="C39" s="23" t="s">
        <v>15</v>
      </c>
      <c r="D39" s="23" t="s">
        <v>16</v>
      </c>
      <c r="E39" s="23">
        <v>30704</v>
      </c>
      <c r="F39" s="23">
        <v>19</v>
      </c>
      <c r="G39" s="23">
        <v>25123</v>
      </c>
      <c r="H39" s="24">
        <f>Sales_Data[[#This Row],[Sales]]-Sales_Data[[#This Row],[Cost]]</f>
        <v>5581</v>
      </c>
      <c r="I39" s="25">
        <f>Sales_Data[[#This Row],[Profit ]]/Sales_Data[[#This Row],[Sales]]</f>
        <v>0.18176784783741531</v>
      </c>
    </row>
    <row r="40" spans="1:9" x14ac:dyDescent="0.35">
      <c r="A40" s="22">
        <v>45465</v>
      </c>
      <c r="B40" s="23" t="s">
        <v>10</v>
      </c>
      <c r="C40" s="23" t="s">
        <v>11</v>
      </c>
      <c r="D40" s="23" t="s">
        <v>14</v>
      </c>
      <c r="E40" s="23">
        <v>10644</v>
      </c>
      <c r="F40" s="23">
        <v>11</v>
      </c>
      <c r="G40" s="23">
        <v>7171</v>
      </c>
      <c r="H40" s="24">
        <f>Sales_Data[[#This Row],[Sales]]-Sales_Data[[#This Row],[Cost]]</f>
        <v>3473</v>
      </c>
      <c r="I40" s="25">
        <f>Sales_Data[[#This Row],[Profit ]]/Sales_Data[[#This Row],[Sales]]</f>
        <v>0.32628711010898159</v>
      </c>
    </row>
    <row r="41" spans="1:9" x14ac:dyDescent="0.35">
      <c r="A41" s="22">
        <v>45411</v>
      </c>
      <c r="B41" s="23" t="s">
        <v>17</v>
      </c>
      <c r="C41" s="23" t="s">
        <v>8</v>
      </c>
      <c r="D41" s="23" t="s">
        <v>23</v>
      </c>
      <c r="E41" s="23">
        <v>7692</v>
      </c>
      <c r="F41" s="23">
        <v>10</v>
      </c>
      <c r="G41" s="23">
        <v>5663</v>
      </c>
      <c r="H41" s="24">
        <f>Sales_Data[[#This Row],[Sales]]-Sales_Data[[#This Row],[Cost]]</f>
        <v>2029</v>
      </c>
      <c r="I41" s="25">
        <f>Sales_Data[[#This Row],[Profit ]]/Sales_Data[[#This Row],[Sales]]</f>
        <v>0.26378055122204891</v>
      </c>
    </row>
    <row r="42" spans="1:9" x14ac:dyDescent="0.35">
      <c r="A42" s="22">
        <v>45426</v>
      </c>
      <c r="B42" s="23" t="s">
        <v>13</v>
      </c>
      <c r="C42" s="23" t="s">
        <v>8</v>
      </c>
      <c r="D42" s="23" t="s">
        <v>9</v>
      </c>
      <c r="E42" s="23">
        <v>8419</v>
      </c>
      <c r="F42" s="23">
        <v>16</v>
      </c>
      <c r="G42" s="23">
        <v>6278</v>
      </c>
      <c r="H42" s="24">
        <f>Sales_Data[[#This Row],[Sales]]-Sales_Data[[#This Row],[Cost]]</f>
        <v>2141</v>
      </c>
      <c r="I42" s="25">
        <f>Sales_Data[[#This Row],[Profit ]]/Sales_Data[[#This Row],[Sales]]</f>
        <v>0.25430573702339948</v>
      </c>
    </row>
    <row r="43" spans="1:9" x14ac:dyDescent="0.35">
      <c r="A43" s="22">
        <v>45463</v>
      </c>
      <c r="B43" s="23" t="s">
        <v>7</v>
      </c>
      <c r="C43" s="23" t="s">
        <v>8</v>
      </c>
      <c r="D43" s="23" t="s">
        <v>20</v>
      </c>
      <c r="E43" s="23">
        <v>23410</v>
      </c>
      <c r="F43" s="23">
        <v>11</v>
      </c>
      <c r="G43" s="23">
        <v>18798</v>
      </c>
      <c r="H43" s="24">
        <f>Sales_Data[[#This Row],[Sales]]-Sales_Data[[#This Row],[Cost]]</f>
        <v>4612</v>
      </c>
      <c r="I43" s="25">
        <f>Sales_Data[[#This Row],[Profit ]]/Sales_Data[[#This Row],[Sales]]</f>
        <v>0.19700982486117044</v>
      </c>
    </row>
    <row r="44" spans="1:9" x14ac:dyDescent="0.35">
      <c r="A44" s="22">
        <v>45318</v>
      </c>
      <c r="B44" s="23" t="s">
        <v>10</v>
      </c>
      <c r="C44" s="23" t="s">
        <v>11</v>
      </c>
      <c r="D44" s="23" t="s">
        <v>12</v>
      </c>
      <c r="E44" s="23">
        <v>19976</v>
      </c>
      <c r="F44" s="23">
        <v>1</v>
      </c>
      <c r="G44" s="23">
        <v>15866</v>
      </c>
      <c r="H44" s="24">
        <f>Sales_Data[[#This Row],[Sales]]-Sales_Data[[#This Row],[Cost]]</f>
        <v>4110</v>
      </c>
      <c r="I44" s="25">
        <f>Sales_Data[[#This Row],[Profit ]]/Sales_Data[[#This Row],[Sales]]</f>
        <v>0.20574689627553064</v>
      </c>
    </row>
    <row r="45" spans="1:9" x14ac:dyDescent="0.35">
      <c r="A45" s="22">
        <v>45342</v>
      </c>
      <c r="B45" s="23" t="s">
        <v>17</v>
      </c>
      <c r="C45" s="23" t="s">
        <v>11</v>
      </c>
      <c r="D45" s="23" t="s">
        <v>12</v>
      </c>
      <c r="E45" s="23">
        <v>31832</v>
      </c>
      <c r="F45" s="23">
        <v>2</v>
      </c>
      <c r="G45" s="23">
        <v>25028</v>
      </c>
      <c r="H45" s="24">
        <f>Sales_Data[[#This Row],[Sales]]-Sales_Data[[#This Row],[Cost]]</f>
        <v>6804</v>
      </c>
      <c r="I45" s="25">
        <f>Sales_Data[[#This Row],[Profit ]]/Sales_Data[[#This Row],[Sales]]</f>
        <v>0.21374717265644635</v>
      </c>
    </row>
    <row r="46" spans="1:9" x14ac:dyDescent="0.35">
      <c r="A46" s="22">
        <v>45429</v>
      </c>
      <c r="B46" s="23" t="s">
        <v>17</v>
      </c>
      <c r="C46" s="23" t="s">
        <v>8</v>
      </c>
      <c r="D46" s="23" t="s">
        <v>25</v>
      </c>
      <c r="E46" s="23">
        <v>29394</v>
      </c>
      <c r="F46" s="23">
        <v>11</v>
      </c>
      <c r="G46" s="23">
        <v>23441</v>
      </c>
      <c r="H46" s="24">
        <f>Sales_Data[[#This Row],[Sales]]-Sales_Data[[#This Row],[Cost]]</f>
        <v>5953</v>
      </c>
      <c r="I46" s="25">
        <f>Sales_Data[[#This Row],[Profit ]]/Sales_Data[[#This Row],[Sales]]</f>
        <v>0.20252432469211404</v>
      </c>
    </row>
    <row r="47" spans="1:9" x14ac:dyDescent="0.35">
      <c r="A47" s="22">
        <v>45411</v>
      </c>
      <c r="B47" s="23" t="s">
        <v>17</v>
      </c>
      <c r="C47" s="23" t="s">
        <v>15</v>
      </c>
      <c r="D47" s="23" t="s">
        <v>16</v>
      </c>
      <c r="E47" s="23">
        <v>15829</v>
      </c>
      <c r="F47" s="23">
        <v>3</v>
      </c>
      <c r="G47" s="23">
        <v>12442</v>
      </c>
      <c r="H47" s="24">
        <f>Sales_Data[[#This Row],[Sales]]-Sales_Data[[#This Row],[Cost]]</f>
        <v>3387</v>
      </c>
      <c r="I47" s="25">
        <f>Sales_Data[[#This Row],[Profit ]]/Sales_Data[[#This Row],[Sales]]</f>
        <v>0.21397435087497632</v>
      </c>
    </row>
    <row r="48" spans="1:9" x14ac:dyDescent="0.35">
      <c r="A48" s="22">
        <v>45372</v>
      </c>
      <c r="B48" s="23" t="s">
        <v>10</v>
      </c>
      <c r="C48" s="23" t="s">
        <v>8</v>
      </c>
      <c r="D48" s="23" t="s">
        <v>23</v>
      </c>
      <c r="E48" s="23">
        <v>29591</v>
      </c>
      <c r="F48" s="23">
        <v>18</v>
      </c>
      <c r="G48" s="23">
        <v>21473</v>
      </c>
      <c r="H48" s="24">
        <f>Sales_Data[[#This Row],[Sales]]-Sales_Data[[#This Row],[Cost]]</f>
        <v>8118</v>
      </c>
      <c r="I48" s="25">
        <f>Sales_Data[[#This Row],[Profit ]]/Sales_Data[[#This Row],[Sales]]</f>
        <v>0.27434017099793856</v>
      </c>
    </row>
    <row r="49" spans="1:9" x14ac:dyDescent="0.35">
      <c r="A49" s="22">
        <v>45349</v>
      </c>
      <c r="B49" s="23" t="s">
        <v>7</v>
      </c>
      <c r="C49" s="23" t="s">
        <v>15</v>
      </c>
      <c r="D49" s="23" t="s">
        <v>21</v>
      </c>
      <c r="E49" s="23">
        <v>13941</v>
      </c>
      <c r="F49" s="23">
        <v>12</v>
      </c>
      <c r="G49" s="23">
        <v>9460</v>
      </c>
      <c r="H49" s="24">
        <f>Sales_Data[[#This Row],[Sales]]-Sales_Data[[#This Row],[Cost]]</f>
        <v>4481</v>
      </c>
      <c r="I49" s="25">
        <f>Sales_Data[[#This Row],[Profit ]]/Sales_Data[[#This Row],[Sales]]</f>
        <v>0.32142600961193601</v>
      </c>
    </row>
    <row r="50" spans="1:9" x14ac:dyDescent="0.35">
      <c r="A50" s="22">
        <v>45316</v>
      </c>
      <c r="B50" s="23" t="s">
        <v>13</v>
      </c>
      <c r="C50" s="23" t="s">
        <v>8</v>
      </c>
      <c r="D50" s="23" t="s">
        <v>9</v>
      </c>
      <c r="E50" s="23">
        <v>24273</v>
      </c>
      <c r="F50" s="23">
        <v>3</v>
      </c>
      <c r="G50" s="23">
        <v>20563</v>
      </c>
      <c r="H50" s="24">
        <f>Sales_Data[[#This Row],[Sales]]-Sales_Data[[#This Row],[Cost]]</f>
        <v>3710</v>
      </c>
      <c r="I50" s="25">
        <f>Sales_Data[[#This Row],[Profit ]]/Sales_Data[[#This Row],[Sales]]</f>
        <v>0.15284472459110945</v>
      </c>
    </row>
    <row r="51" spans="1:9" x14ac:dyDescent="0.35">
      <c r="A51" s="22">
        <v>45293</v>
      </c>
      <c r="B51" s="23" t="s">
        <v>13</v>
      </c>
      <c r="C51" s="23" t="s">
        <v>11</v>
      </c>
      <c r="D51" s="23" t="s">
        <v>12</v>
      </c>
      <c r="E51" s="23">
        <v>28069</v>
      </c>
      <c r="F51" s="23">
        <v>11</v>
      </c>
      <c r="G51" s="23">
        <v>17804</v>
      </c>
      <c r="H51" s="24">
        <f>Sales_Data[[#This Row],[Sales]]-Sales_Data[[#This Row],[Cost]]</f>
        <v>10265</v>
      </c>
      <c r="I51" s="25">
        <f>Sales_Data[[#This Row],[Profit ]]/Sales_Data[[#This Row],[Sales]]</f>
        <v>0.36570593893619296</v>
      </c>
    </row>
    <row r="52" spans="1:9" x14ac:dyDescent="0.35">
      <c r="A52" s="22">
        <v>45312</v>
      </c>
      <c r="B52" s="23" t="s">
        <v>13</v>
      </c>
      <c r="C52" s="23" t="s">
        <v>8</v>
      </c>
      <c r="D52" s="23" t="s">
        <v>25</v>
      </c>
      <c r="E52" s="23">
        <v>36564</v>
      </c>
      <c r="F52" s="23">
        <v>3</v>
      </c>
      <c r="G52" s="23">
        <v>29719</v>
      </c>
      <c r="H52" s="24">
        <f>Sales_Data[[#This Row],[Sales]]-Sales_Data[[#This Row],[Cost]]</f>
        <v>6845</v>
      </c>
      <c r="I52" s="25">
        <f>Sales_Data[[#This Row],[Profit ]]/Sales_Data[[#This Row],[Sales]]</f>
        <v>0.18720599496772783</v>
      </c>
    </row>
    <row r="53" spans="1:9" x14ac:dyDescent="0.35">
      <c r="A53" s="22">
        <v>45383</v>
      </c>
      <c r="B53" s="23" t="s">
        <v>13</v>
      </c>
      <c r="C53" s="23" t="s">
        <v>11</v>
      </c>
      <c r="D53" s="23" t="s">
        <v>12</v>
      </c>
      <c r="E53" s="23">
        <v>27006</v>
      </c>
      <c r="F53" s="23">
        <v>13</v>
      </c>
      <c r="G53" s="23">
        <v>17874</v>
      </c>
      <c r="H53" s="24">
        <f>Sales_Data[[#This Row],[Sales]]-Sales_Data[[#This Row],[Cost]]</f>
        <v>9132</v>
      </c>
      <c r="I53" s="25">
        <f>Sales_Data[[#This Row],[Profit ]]/Sales_Data[[#This Row],[Sales]]</f>
        <v>0.33814707842701625</v>
      </c>
    </row>
    <row r="54" spans="1:9" x14ac:dyDescent="0.35">
      <c r="A54" s="22">
        <v>45305</v>
      </c>
      <c r="B54" s="23" t="s">
        <v>13</v>
      </c>
      <c r="C54" s="23" t="s">
        <v>8</v>
      </c>
      <c r="D54" s="23" t="s">
        <v>20</v>
      </c>
      <c r="E54" s="23">
        <v>28814</v>
      </c>
      <c r="F54" s="23">
        <v>13</v>
      </c>
      <c r="G54" s="23">
        <v>21091</v>
      </c>
      <c r="H54" s="24">
        <f>Sales_Data[[#This Row],[Sales]]-Sales_Data[[#This Row],[Cost]]</f>
        <v>7723</v>
      </c>
      <c r="I54" s="25">
        <f>Sales_Data[[#This Row],[Profit ]]/Sales_Data[[#This Row],[Sales]]</f>
        <v>0.2680294301381273</v>
      </c>
    </row>
    <row r="55" spans="1:9" x14ac:dyDescent="0.35">
      <c r="A55" s="22">
        <v>45451</v>
      </c>
      <c r="B55" s="23" t="s">
        <v>7</v>
      </c>
      <c r="C55" s="23" t="s">
        <v>15</v>
      </c>
      <c r="D55" s="23" t="s">
        <v>21</v>
      </c>
      <c r="E55" s="23">
        <v>26283</v>
      </c>
      <c r="F55" s="23">
        <v>5</v>
      </c>
      <c r="G55" s="23">
        <v>15925</v>
      </c>
      <c r="H55" s="24">
        <f>Sales_Data[[#This Row],[Sales]]-Sales_Data[[#This Row],[Cost]]</f>
        <v>10358</v>
      </c>
      <c r="I55" s="25">
        <f>Sales_Data[[#This Row],[Profit ]]/Sales_Data[[#This Row],[Sales]]</f>
        <v>0.39409504242285887</v>
      </c>
    </row>
    <row r="56" spans="1:9" x14ac:dyDescent="0.35">
      <c r="A56" s="22">
        <v>45381</v>
      </c>
      <c r="B56" s="23" t="s">
        <v>10</v>
      </c>
      <c r="C56" s="23" t="s">
        <v>15</v>
      </c>
      <c r="D56" s="23" t="s">
        <v>22</v>
      </c>
      <c r="E56" s="23">
        <v>30978</v>
      </c>
      <c r="F56" s="23">
        <v>7</v>
      </c>
      <c r="G56" s="23">
        <v>21278</v>
      </c>
      <c r="H56" s="24">
        <f>Sales_Data[[#This Row],[Sales]]-Sales_Data[[#This Row],[Cost]]</f>
        <v>9700</v>
      </c>
      <c r="I56" s="25">
        <f>Sales_Data[[#This Row],[Profit ]]/Sales_Data[[#This Row],[Sales]]</f>
        <v>0.31312544386338692</v>
      </c>
    </row>
    <row r="57" spans="1:9" x14ac:dyDescent="0.35">
      <c r="A57" s="22">
        <v>45342</v>
      </c>
      <c r="B57" s="23" t="s">
        <v>10</v>
      </c>
      <c r="C57" s="23" t="s">
        <v>11</v>
      </c>
      <c r="D57" s="23" t="s">
        <v>12</v>
      </c>
      <c r="E57" s="23">
        <v>29927</v>
      </c>
      <c r="F57" s="23">
        <v>18</v>
      </c>
      <c r="G57" s="23">
        <v>21455</v>
      </c>
      <c r="H57" s="24">
        <f>Sales_Data[[#This Row],[Sales]]-Sales_Data[[#This Row],[Cost]]</f>
        <v>8472</v>
      </c>
      <c r="I57" s="25">
        <f>Sales_Data[[#This Row],[Profit ]]/Sales_Data[[#This Row],[Sales]]</f>
        <v>0.28308884953386576</v>
      </c>
    </row>
    <row r="58" spans="1:9" x14ac:dyDescent="0.35">
      <c r="A58" s="22">
        <v>45292</v>
      </c>
      <c r="B58" s="23" t="s">
        <v>10</v>
      </c>
      <c r="C58" s="23" t="s">
        <v>8</v>
      </c>
      <c r="D58" s="23" t="s">
        <v>23</v>
      </c>
      <c r="E58" s="23">
        <v>27397</v>
      </c>
      <c r="F58" s="23">
        <v>18</v>
      </c>
      <c r="G58" s="23">
        <v>16988</v>
      </c>
      <c r="H58" s="24">
        <f>Sales_Data[[#This Row],[Sales]]-Sales_Data[[#This Row],[Cost]]</f>
        <v>10409</v>
      </c>
      <c r="I58" s="25">
        <f>Sales_Data[[#This Row],[Profit ]]/Sales_Data[[#This Row],[Sales]]</f>
        <v>0.37993210935503885</v>
      </c>
    </row>
    <row r="59" spans="1:9" x14ac:dyDescent="0.35">
      <c r="A59" s="22">
        <v>45432</v>
      </c>
      <c r="B59" s="23" t="s">
        <v>17</v>
      </c>
      <c r="C59" s="23" t="s">
        <v>8</v>
      </c>
      <c r="D59" s="23" t="s">
        <v>25</v>
      </c>
      <c r="E59" s="23">
        <v>25915</v>
      </c>
      <c r="F59" s="23">
        <v>20</v>
      </c>
      <c r="G59" s="23">
        <v>19290</v>
      </c>
      <c r="H59" s="24">
        <f>Sales_Data[[#This Row],[Sales]]-Sales_Data[[#This Row],[Cost]]</f>
        <v>6625</v>
      </c>
      <c r="I59" s="25">
        <f>Sales_Data[[#This Row],[Profit ]]/Sales_Data[[#This Row],[Sales]]</f>
        <v>0.25564344973953307</v>
      </c>
    </row>
    <row r="60" spans="1:9" x14ac:dyDescent="0.35">
      <c r="A60" s="22">
        <v>45318</v>
      </c>
      <c r="B60" s="23" t="s">
        <v>17</v>
      </c>
      <c r="C60" s="23" t="s">
        <v>15</v>
      </c>
      <c r="D60" s="23" t="s">
        <v>16</v>
      </c>
      <c r="E60" s="23">
        <v>27740</v>
      </c>
      <c r="F60" s="23">
        <v>9</v>
      </c>
      <c r="G60" s="23">
        <v>20087</v>
      </c>
      <c r="H60" s="24">
        <f>Sales_Data[[#This Row],[Sales]]-Sales_Data[[#This Row],[Cost]]</f>
        <v>7653</v>
      </c>
      <c r="I60" s="25">
        <f>Sales_Data[[#This Row],[Profit ]]/Sales_Data[[#This Row],[Sales]]</f>
        <v>0.27588320115356885</v>
      </c>
    </row>
    <row r="61" spans="1:9" x14ac:dyDescent="0.35">
      <c r="A61" s="22">
        <v>45443</v>
      </c>
      <c r="B61" s="23" t="s">
        <v>13</v>
      </c>
      <c r="C61" s="23" t="s">
        <v>11</v>
      </c>
      <c r="D61" s="23" t="s">
        <v>19</v>
      </c>
      <c r="E61" s="23">
        <v>18292</v>
      </c>
      <c r="F61" s="23">
        <v>8</v>
      </c>
      <c r="G61" s="23">
        <v>13301</v>
      </c>
      <c r="H61" s="24">
        <f>Sales_Data[[#This Row],[Sales]]-Sales_Data[[#This Row],[Cost]]</f>
        <v>4991</v>
      </c>
      <c r="I61" s="25">
        <f>Sales_Data[[#This Row],[Profit ]]/Sales_Data[[#This Row],[Sales]]</f>
        <v>0.27285151979007216</v>
      </c>
    </row>
    <row r="62" spans="1:9" x14ac:dyDescent="0.35">
      <c r="A62" s="22">
        <v>45450</v>
      </c>
      <c r="B62" s="23" t="s">
        <v>13</v>
      </c>
      <c r="C62" s="23" t="s">
        <v>8</v>
      </c>
      <c r="D62" s="23" t="s">
        <v>20</v>
      </c>
      <c r="E62" s="23">
        <v>36797</v>
      </c>
      <c r="F62" s="23">
        <v>10</v>
      </c>
      <c r="G62" s="23">
        <v>22146</v>
      </c>
      <c r="H62" s="24">
        <f>Sales_Data[[#This Row],[Sales]]-Sales_Data[[#This Row],[Cost]]</f>
        <v>14651</v>
      </c>
      <c r="I62" s="25">
        <f>Sales_Data[[#This Row],[Profit ]]/Sales_Data[[#This Row],[Sales]]</f>
        <v>0.39815745848846373</v>
      </c>
    </row>
    <row r="63" spans="1:9" x14ac:dyDescent="0.35">
      <c r="A63" s="22">
        <v>45361</v>
      </c>
      <c r="B63" s="23" t="s">
        <v>13</v>
      </c>
      <c r="C63" s="23" t="s">
        <v>8</v>
      </c>
      <c r="D63" s="23" t="s">
        <v>9</v>
      </c>
      <c r="E63" s="23">
        <v>26329</v>
      </c>
      <c r="F63" s="23">
        <v>15</v>
      </c>
      <c r="G63" s="23">
        <v>19065</v>
      </c>
      <c r="H63" s="24">
        <f>Sales_Data[[#This Row],[Sales]]-Sales_Data[[#This Row],[Cost]]</f>
        <v>7264</v>
      </c>
      <c r="I63" s="25">
        <f>Sales_Data[[#This Row],[Profit ]]/Sales_Data[[#This Row],[Sales]]</f>
        <v>0.27589350146226593</v>
      </c>
    </row>
    <row r="64" spans="1:9" x14ac:dyDescent="0.35">
      <c r="A64" s="22">
        <v>45351</v>
      </c>
      <c r="B64" s="23" t="s">
        <v>17</v>
      </c>
      <c r="C64" s="23" t="s">
        <v>8</v>
      </c>
      <c r="D64" s="23" t="s">
        <v>25</v>
      </c>
      <c r="E64" s="23">
        <v>5405</v>
      </c>
      <c r="F64" s="23">
        <v>18</v>
      </c>
      <c r="G64" s="23">
        <v>3517</v>
      </c>
      <c r="H64" s="24">
        <f>Sales_Data[[#This Row],[Sales]]-Sales_Data[[#This Row],[Cost]]</f>
        <v>1888</v>
      </c>
      <c r="I64" s="25">
        <f>Sales_Data[[#This Row],[Profit ]]/Sales_Data[[#This Row],[Sales]]</f>
        <v>0.34930619796484735</v>
      </c>
    </row>
    <row r="65" spans="1:9" x14ac:dyDescent="0.35">
      <c r="A65" s="22">
        <v>45461</v>
      </c>
      <c r="B65" s="23" t="s">
        <v>17</v>
      </c>
      <c r="C65" s="23" t="s">
        <v>11</v>
      </c>
      <c r="D65" s="23" t="s">
        <v>14</v>
      </c>
      <c r="E65" s="23">
        <v>25654</v>
      </c>
      <c r="F65" s="23">
        <v>1</v>
      </c>
      <c r="G65" s="23">
        <v>15885</v>
      </c>
      <c r="H65" s="24">
        <f>Sales_Data[[#This Row],[Sales]]-Sales_Data[[#This Row],[Cost]]</f>
        <v>9769</v>
      </c>
      <c r="I65" s="25">
        <f>Sales_Data[[#This Row],[Profit ]]/Sales_Data[[#This Row],[Sales]]</f>
        <v>0.38079831605207765</v>
      </c>
    </row>
    <row r="66" spans="1:9" x14ac:dyDescent="0.35">
      <c r="A66" s="22">
        <v>45320</v>
      </c>
      <c r="B66" s="23" t="s">
        <v>10</v>
      </c>
      <c r="C66" s="23" t="s">
        <v>15</v>
      </c>
      <c r="D66" s="23" t="s">
        <v>21</v>
      </c>
      <c r="E66" s="23">
        <v>27090</v>
      </c>
      <c r="F66" s="23">
        <v>15</v>
      </c>
      <c r="G66" s="23">
        <v>16322</v>
      </c>
      <c r="H66" s="24">
        <f>Sales_Data[[#This Row],[Sales]]-Sales_Data[[#This Row],[Cost]]</f>
        <v>10768</v>
      </c>
      <c r="I66" s="25">
        <f>Sales_Data[[#This Row],[Profit ]]/Sales_Data[[#This Row],[Sales]]</f>
        <v>0.39748984865263937</v>
      </c>
    </row>
    <row r="67" spans="1:9" x14ac:dyDescent="0.35">
      <c r="A67" s="22">
        <v>45294</v>
      </c>
      <c r="B67" s="23" t="s">
        <v>13</v>
      </c>
      <c r="C67" s="23" t="s">
        <v>15</v>
      </c>
      <c r="D67" s="23" t="s">
        <v>16</v>
      </c>
      <c r="E67" s="23">
        <v>24620</v>
      </c>
      <c r="F67" s="23">
        <v>16</v>
      </c>
      <c r="G67" s="23">
        <v>15541</v>
      </c>
      <c r="H67" s="24">
        <f>Sales_Data[[#This Row],[Sales]]-Sales_Data[[#This Row],[Cost]]</f>
        <v>9079</v>
      </c>
      <c r="I67" s="25">
        <f>Sales_Data[[#This Row],[Profit ]]/Sales_Data[[#This Row],[Sales]]</f>
        <v>0.36876523151909019</v>
      </c>
    </row>
    <row r="68" spans="1:9" x14ac:dyDescent="0.35">
      <c r="A68" s="22">
        <v>45411</v>
      </c>
      <c r="B68" s="23" t="s">
        <v>13</v>
      </c>
      <c r="C68" s="23" t="s">
        <v>11</v>
      </c>
      <c r="D68" s="23" t="s">
        <v>24</v>
      </c>
      <c r="E68" s="23">
        <v>22123</v>
      </c>
      <c r="F68" s="23">
        <v>2</v>
      </c>
      <c r="G68" s="23">
        <v>16002</v>
      </c>
      <c r="H68" s="24">
        <f>Sales_Data[[#This Row],[Sales]]-Sales_Data[[#This Row],[Cost]]</f>
        <v>6121</v>
      </c>
      <c r="I68" s="25">
        <f>Sales_Data[[#This Row],[Profit ]]/Sales_Data[[#This Row],[Sales]]</f>
        <v>0.27668037788726663</v>
      </c>
    </row>
    <row r="69" spans="1:9" x14ac:dyDescent="0.35">
      <c r="A69" s="22">
        <v>45367</v>
      </c>
      <c r="B69" s="23" t="s">
        <v>13</v>
      </c>
      <c r="C69" s="23" t="s">
        <v>15</v>
      </c>
      <c r="D69" s="23" t="s">
        <v>18</v>
      </c>
      <c r="E69" s="23">
        <v>22065</v>
      </c>
      <c r="F69" s="23">
        <v>13</v>
      </c>
      <c r="G69" s="23">
        <v>16295</v>
      </c>
      <c r="H69" s="24">
        <f>Sales_Data[[#This Row],[Sales]]-Sales_Data[[#This Row],[Cost]]</f>
        <v>5770</v>
      </c>
      <c r="I69" s="25">
        <f>Sales_Data[[#This Row],[Profit ]]/Sales_Data[[#This Row],[Sales]]</f>
        <v>0.26150011330160888</v>
      </c>
    </row>
    <row r="70" spans="1:9" x14ac:dyDescent="0.35">
      <c r="A70" s="22">
        <v>45450</v>
      </c>
      <c r="B70" s="23" t="s">
        <v>13</v>
      </c>
      <c r="C70" s="23" t="s">
        <v>11</v>
      </c>
      <c r="D70" s="23" t="s">
        <v>24</v>
      </c>
      <c r="E70" s="23">
        <v>11030</v>
      </c>
      <c r="F70" s="23">
        <v>18</v>
      </c>
      <c r="G70" s="23">
        <v>6983</v>
      </c>
      <c r="H70" s="24">
        <f>Sales_Data[[#This Row],[Sales]]-Sales_Data[[#This Row],[Cost]]</f>
        <v>4047</v>
      </c>
      <c r="I70" s="25">
        <f>Sales_Data[[#This Row],[Profit ]]/Sales_Data[[#This Row],[Sales]]</f>
        <v>0.36690843155031733</v>
      </c>
    </row>
    <row r="71" spans="1:9" x14ac:dyDescent="0.35">
      <c r="A71" s="22">
        <v>45459</v>
      </c>
      <c r="B71" s="23" t="s">
        <v>7</v>
      </c>
      <c r="C71" s="23" t="s">
        <v>11</v>
      </c>
      <c r="D71" s="23" t="s">
        <v>12</v>
      </c>
      <c r="E71" s="23">
        <v>36752</v>
      </c>
      <c r="F71" s="23">
        <v>16</v>
      </c>
      <c r="G71" s="23">
        <v>27335</v>
      </c>
      <c r="H71" s="24">
        <f>Sales_Data[[#This Row],[Sales]]-Sales_Data[[#This Row],[Cost]]</f>
        <v>9417</v>
      </c>
      <c r="I71" s="25">
        <f>Sales_Data[[#This Row],[Profit ]]/Sales_Data[[#This Row],[Sales]]</f>
        <v>0.25623095341750107</v>
      </c>
    </row>
    <row r="72" spans="1:9" x14ac:dyDescent="0.35">
      <c r="A72" s="22">
        <v>45337</v>
      </c>
      <c r="B72" s="23" t="s">
        <v>7</v>
      </c>
      <c r="C72" s="23" t="s">
        <v>15</v>
      </c>
      <c r="D72" s="23" t="s">
        <v>16</v>
      </c>
      <c r="E72" s="23">
        <v>33607</v>
      </c>
      <c r="F72" s="23">
        <v>7</v>
      </c>
      <c r="G72" s="23">
        <v>21135</v>
      </c>
      <c r="H72" s="24">
        <f>Sales_Data[[#This Row],[Sales]]-Sales_Data[[#This Row],[Cost]]</f>
        <v>12472</v>
      </c>
      <c r="I72" s="25">
        <f>Sales_Data[[#This Row],[Profit ]]/Sales_Data[[#This Row],[Sales]]</f>
        <v>0.37111316094861191</v>
      </c>
    </row>
    <row r="73" spans="1:9" x14ac:dyDescent="0.35">
      <c r="A73" s="22">
        <v>45399</v>
      </c>
      <c r="B73" s="23" t="s">
        <v>13</v>
      </c>
      <c r="C73" s="23" t="s">
        <v>8</v>
      </c>
      <c r="D73" s="23" t="s">
        <v>9</v>
      </c>
      <c r="E73" s="23">
        <v>8572</v>
      </c>
      <c r="F73" s="23">
        <v>8</v>
      </c>
      <c r="G73" s="23">
        <v>6869</v>
      </c>
      <c r="H73" s="24">
        <f>Sales_Data[[#This Row],[Sales]]-Sales_Data[[#This Row],[Cost]]</f>
        <v>1703</v>
      </c>
      <c r="I73" s="25">
        <f>Sales_Data[[#This Row],[Profit ]]/Sales_Data[[#This Row],[Sales]]</f>
        <v>0.19867008866075594</v>
      </c>
    </row>
    <row r="74" spans="1:9" x14ac:dyDescent="0.35">
      <c r="A74" s="22">
        <v>45432</v>
      </c>
      <c r="B74" s="23" t="s">
        <v>10</v>
      </c>
      <c r="C74" s="23" t="s">
        <v>8</v>
      </c>
      <c r="D74" s="23" t="s">
        <v>25</v>
      </c>
      <c r="E74" s="23">
        <v>23969</v>
      </c>
      <c r="F74" s="23">
        <v>7</v>
      </c>
      <c r="G74" s="23">
        <v>18528</v>
      </c>
      <c r="H74" s="24">
        <f>Sales_Data[[#This Row],[Sales]]-Sales_Data[[#This Row],[Cost]]</f>
        <v>5441</v>
      </c>
      <c r="I74" s="25">
        <f>Sales_Data[[#This Row],[Profit ]]/Sales_Data[[#This Row],[Sales]]</f>
        <v>0.22700154366056155</v>
      </c>
    </row>
    <row r="75" spans="1:9" x14ac:dyDescent="0.35">
      <c r="A75" s="22">
        <v>45359</v>
      </c>
      <c r="B75" s="23" t="s">
        <v>10</v>
      </c>
      <c r="C75" s="23" t="s">
        <v>11</v>
      </c>
      <c r="D75" s="23" t="s">
        <v>14</v>
      </c>
      <c r="E75" s="23">
        <v>16250</v>
      </c>
      <c r="F75" s="23">
        <v>17</v>
      </c>
      <c r="G75" s="23">
        <v>9971</v>
      </c>
      <c r="H75" s="24">
        <f>Sales_Data[[#This Row],[Sales]]-Sales_Data[[#This Row],[Cost]]</f>
        <v>6279</v>
      </c>
      <c r="I75" s="25">
        <f>Sales_Data[[#This Row],[Profit ]]/Sales_Data[[#This Row],[Sales]]</f>
        <v>0.38640000000000002</v>
      </c>
    </row>
    <row r="76" spans="1:9" x14ac:dyDescent="0.35">
      <c r="A76" s="22">
        <v>45400</v>
      </c>
      <c r="B76" s="23" t="s">
        <v>10</v>
      </c>
      <c r="C76" s="23" t="s">
        <v>15</v>
      </c>
      <c r="D76" s="23" t="s">
        <v>16</v>
      </c>
      <c r="E76" s="23">
        <v>35681</v>
      </c>
      <c r="F76" s="23">
        <v>10</v>
      </c>
      <c r="G76" s="23">
        <v>28035</v>
      </c>
      <c r="H76" s="24">
        <f>Sales_Data[[#This Row],[Sales]]-Sales_Data[[#This Row],[Cost]]</f>
        <v>7646</v>
      </c>
      <c r="I76" s="25">
        <f>Sales_Data[[#This Row],[Profit ]]/Sales_Data[[#This Row],[Sales]]</f>
        <v>0.21428771615145314</v>
      </c>
    </row>
    <row r="77" spans="1:9" x14ac:dyDescent="0.35">
      <c r="A77" s="22">
        <v>45344</v>
      </c>
      <c r="B77" s="23" t="s">
        <v>7</v>
      </c>
      <c r="C77" s="23" t="s">
        <v>15</v>
      </c>
      <c r="D77" s="23" t="s">
        <v>22</v>
      </c>
      <c r="E77" s="23">
        <v>29583</v>
      </c>
      <c r="F77" s="23">
        <v>7</v>
      </c>
      <c r="G77" s="23">
        <v>23829</v>
      </c>
      <c r="H77" s="24">
        <f>Sales_Data[[#This Row],[Sales]]-Sales_Data[[#This Row],[Cost]]</f>
        <v>5754</v>
      </c>
      <c r="I77" s="25">
        <f>Sales_Data[[#This Row],[Profit ]]/Sales_Data[[#This Row],[Sales]]</f>
        <v>0.19450360004056383</v>
      </c>
    </row>
    <row r="78" spans="1:9" x14ac:dyDescent="0.35">
      <c r="A78" s="22">
        <v>45306</v>
      </c>
      <c r="B78" s="23" t="s">
        <v>7</v>
      </c>
      <c r="C78" s="23" t="s">
        <v>11</v>
      </c>
      <c r="D78" s="23" t="s">
        <v>12</v>
      </c>
      <c r="E78" s="23">
        <v>32138</v>
      </c>
      <c r="F78" s="23">
        <v>18</v>
      </c>
      <c r="G78" s="23">
        <v>20264</v>
      </c>
      <c r="H78" s="24">
        <f>Sales_Data[[#This Row],[Sales]]-Sales_Data[[#This Row],[Cost]]</f>
        <v>11874</v>
      </c>
      <c r="I78" s="25">
        <f>Sales_Data[[#This Row],[Profit ]]/Sales_Data[[#This Row],[Sales]]</f>
        <v>0.36946916422926129</v>
      </c>
    </row>
    <row r="79" spans="1:9" x14ac:dyDescent="0.35">
      <c r="A79" s="22">
        <v>45391</v>
      </c>
      <c r="B79" s="23" t="s">
        <v>17</v>
      </c>
      <c r="C79" s="23" t="s">
        <v>8</v>
      </c>
      <c r="D79" s="23" t="s">
        <v>23</v>
      </c>
      <c r="E79" s="23">
        <v>31489</v>
      </c>
      <c r="F79" s="23">
        <v>14</v>
      </c>
      <c r="G79" s="23">
        <v>21943</v>
      </c>
      <c r="H79" s="24">
        <f>Sales_Data[[#This Row],[Sales]]-Sales_Data[[#This Row],[Cost]]</f>
        <v>9546</v>
      </c>
      <c r="I79" s="25">
        <f>Sales_Data[[#This Row],[Profit ]]/Sales_Data[[#This Row],[Sales]]</f>
        <v>0.30315348216837623</v>
      </c>
    </row>
    <row r="80" spans="1:9" x14ac:dyDescent="0.35">
      <c r="A80" s="22">
        <v>45307</v>
      </c>
      <c r="B80" s="23" t="s">
        <v>7</v>
      </c>
      <c r="C80" s="23" t="s">
        <v>8</v>
      </c>
      <c r="D80" s="23" t="s">
        <v>25</v>
      </c>
      <c r="E80" s="23">
        <v>5007</v>
      </c>
      <c r="F80" s="23">
        <v>16</v>
      </c>
      <c r="G80" s="23">
        <v>3310</v>
      </c>
      <c r="H80" s="24">
        <f>Sales_Data[[#This Row],[Sales]]-Sales_Data[[#This Row],[Cost]]</f>
        <v>1697</v>
      </c>
      <c r="I80" s="25">
        <f>Sales_Data[[#This Row],[Profit ]]/Sales_Data[[#This Row],[Sales]]</f>
        <v>0.33892550429398843</v>
      </c>
    </row>
    <row r="81" spans="1:9" x14ac:dyDescent="0.35">
      <c r="A81" s="22">
        <v>45419</v>
      </c>
      <c r="B81" s="23" t="s">
        <v>7</v>
      </c>
      <c r="C81" s="23" t="s">
        <v>8</v>
      </c>
      <c r="D81" s="23" t="s">
        <v>25</v>
      </c>
      <c r="E81" s="23">
        <v>17796</v>
      </c>
      <c r="F81" s="23">
        <v>5</v>
      </c>
      <c r="G81" s="23">
        <v>12222</v>
      </c>
      <c r="H81" s="24">
        <f>Sales_Data[[#This Row],[Sales]]-Sales_Data[[#This Row],[Cost]]</f>
        <v>5574</v>
      </c>
      <c r="I81" s="25">
        <f>Sales_Data[[#This Row],[Profit ]]/Sales_Data[[#This Row],[Sales]]</f>
        <v>0.31321645313553609</v>
      </c>
    </row>
    <row r="82" spans="1:9" x14ac:dyDescent="0.35">
      <c r="A82" s="22">
        <v>45415</v>
      </c>
      <c r="B82" s="23" t="s">
        <v>17</v>
      </c>
      <c r="C82" s="23" t="s">
        <v>15</v>
      </c>
      <c r="D82" s="23" t="s">
        <v>22</v>
      </c>
      <c r="E82" s="23">
        <v>28975</v>
      </c>
      <c r="F82" s="23">
        <v>6</v>
      </c>
      <c r="G82" s="23">
        <v>19633</v>
      </c>
      <c r="H82" s="24">
        <f>Sales_Data[[#This Row],[Sales]]-Sales_Data[[#This Row],[Cost]]</f>
        <v>9342</v>
      </c>
      <c r="I82" s="25">
        <f>Sales_Data[[#This Row],[Profit ]]/Sales_Data[[#This Row],[Sales]]</f>
        <v>0.32241587575496117</v>
      </c>
    </row>
    <row r="83" spans="1:9" x14ac:dyDescent="0.35">
      <c r="A83" s="22">
        <v>45367</v>
      </c>
      <c r="B83" s="23" t="s">
        <v>10</v>
      </c>
      <c r="C83" s="23" t="s">
        <v>15</v>
      </c>
      <c r="D83" s="23" t="s">
        <v>16</v>
      </c>
      <c r="E83" s="23">
        <v>39760</v>
      </c>
      <c r="F83" s="23">
        <v>7</v>
      </c>
      <c r="G83" s="23">
        <v>29824</v>
      </c>
      <c r="H83" s="24">
        <f>Sales_Data[[#This Row],[Sales]]-Sales_Data[[#This Row],[Cost]]</f>
        <v>9936</v>
      </c>
      <c r="I83" s="25">
        <f>Sales_Data[[#This Row],[Profit ]]/Sales_Data[[#This Row],[Sales]]</f>
        <v>0.24989939637826961</v>
      </c>
    </row>
    <row r="84" spans="1:9" x14ac:dyDescent="0.35">
      <c r="A84" s="22">
        <v>45360</v>
      </c>
      <c r="B84" s="23" t="s">
        <v>7</v>
      </c>
      <c r="C84" s="23" t="s">
        <v>11</v>
      </c>
      <c r="D84" s="23" t="s">
        <v>14</v>
      </c>
      <c r="E84" s="23">
        <v>38213</v>
      </c>
      <c r="F84" s="23">
        <v>7</v>
      </c>
      <c r="G84" s="23">
        <v>29406</v>
      </c>
      <c r="H84" s="24">
        <f>Sales_Data[[#This Row],[Sales]]-Sales_Data[[#This Row],[Cost]]</f>
        <v>8807</v>
      </c>
      <c r="I84" s="25">
        <f>Sales_Data[[#This Row],[Profit ]]/Sales_Data[[#This Row],[Sales]]</f>
        <v>0.23047130557663623</v>
      </c>
    </row>
    <row r="85" spans="1:9" x14ac:dyDescent="0.35">
      <c r="A85" s="22">
        <v>45392</v>
      </c>
      <c r="B85" s="23" t="s">
        <v>7</v>
      </c>
      <c r="C85" s="23" t="s">
        <v>15</v>
      </c>
      <c r="D85" s="23" t="s">
        <v>16</v>
      </c>
      <c r="E85" s="23">
        <v>32345</v>
      </c>
      <c r="F85" s="23">
        <v>13</v>
      </c>
      <c r="G85" s="23">
        <v>26606</v>
      </c>
      <c r="H85" s="24">
        <f>Sales_Data[[#This Row],[Sales]]-Sales_Data[[#This Row],[Cost]]</f>
        <v>5739</v>
      </c>
      <c r="I85" s="25">
        <f>Sales_Data[[#This Row],[Profit ]]/Sales_Data[[#This Row],[Sales]]</f>
        <v>0.17743082392950998</v>
      </c>
    </row>
    <row r="86" spans="1:9" x14ac:dyDescent="0.35">
      <c r="A86" s="22">
        <v>45438</v>
      </c>
      <c r="B86" s="23" t="s">
        <v>17</v>
      </c>
      <c r="C86" s="23" t="s">
        <v>15</v>
      </c>
      <c r="D86" s="23" t="s">
        <v>16</v>
      </c>
      <c r="E86" s="23">
        <v>6220</v>
      </c>
      <c r="F86" s="23">
        <v>5</v>
      </c>
      <c r="G86" s="23">
        <v>4546</v>
      </c>
      <c r="H86" s="24">
        <f>Sales_Data[[#This Row],[Sales]]-Sales_Data[[#This Row],[Cost]]</f>
        <v>1674</v>
      </c>
      <c r="I86" s="25">
        <f>Sales_Data[[#This Row],[Profit ]]/Sales_Data[[#This Row],[Sales]]</f>
        <v>0.26913183279742764</v>
      </c>
    </row>
    <row r="87" spans="1:9" x14ac:dyDescent="0.35">
      <c r="A87" s="22">
        <v>45372</v>
      </c>
      <c r="B87" s="23" t="s">
        <v>7</v>
      </c>
      <c r="C87" s="23" t="s">
        <v>11</v>
      </c>
      <c r="D87" s="23" t="s">
        <v>14</v>
      </c>
      <c r="E87" s="23">
        <v>19168</v>
      </c>
      <c r="F87" s="23">
        <v>7</v>
      </c>
      <c r="G87" s="23">
        <v>14980</v>
      </c>
      <c r="H87" s="24">
        <f>Sales_Data[[#This Row],[Sales]]-Sales_Data[[#This Row],[Cost]]</f>
        <v>4188</v>
      </c>
      <c r="I87" s="25">
        <f>Sales_Data[[#This Row],[Profit ]]/Sales_Data[[#This Row],[Sales]]</f>
        <v>0.21848914858096827</v>
      </c>
    </row>
    <row r="88" spans="1:9" x14ac:dyDescent="0.35">
      <c r="A88" s="22">
        <v>45402</v>
      </c>
      <c r="B88" s="23" t="s">
        <v>10</v>
      </c>
      <c r="C88" s="23" t="s">
        <v>11</v>
      </c>
      <c r="D88" s="23" t="s">
        <v>14</v>
      </c>
      <c r="E88" s="23">
        <v>38639</v>
      </c>
      <c r="F88" s="23">
        <v>8</v>
      </c>
      <c r="G88" s="23">
        <v>32302</v>
      </c>
      <c r="H88" s="24">
        <f>Sales_Data[[#This Row],[Sales]]-Sales_Data[[#This Row],[Cost]]</f>
        <v>6337</v>
      </c>
      <c r="I88" s="25">
        <f>Sales_Data[[#This Row],[Profit ]]/Sales_Data[[#This Row],[Sales]]</f>
        <v>0.16400527963974224</v>
      </c>
    </row>
    <row r="89" spans="1:9" x14ac:dyDescent="0.35">
      <c r="A89" s="22">
        <v>45424</v>
      </c>
      <c r="B89" s="23" t="s">
        <v>17</v>
      </c>
      <c r="C89" s="23" t="s">
        <v>8</v>
      </c>
      <c r="D89" s="23" t="s">
        <v>9</v>
      </c>
      <c r="E89" s="23">
        <v>26364</v>
      </c>
      <c r="F89" s="23">
        <v>13</v>
      </c>
      <c r="G89" s="23">
        <v>22178</v>
      </c>
      <c r="H89" s="24">
        <f>Sales_Data[[#This Row],[Sales]]-Sales_Data[[#This Row],[Cost]]</f>
        <v>4186</v>
      </c>
      <c r="I89" s="25">
        <f>Sales_Data[[#This Row],[Profit ]]/Sales_Data[[#This Row],[Sales]]</f>
        <v>0.15877712031558186</v>
      </c>
    </row>
    <row r="90" spans="1:9" x14ac:dyDescent="0.35">
      <c r="A90" s="22">
        <v>45353</v>
      </c>
      <c r="B90" s="23" t="s">
        <v>17</v>
      </c>
      <c r="C90" s="23" t="s">
        <v>15</v>
      </c>
      <c r="D90" s="23" t="s">
        <v>16</v>
      </c>
      <c r="E90" s="23">
        <v>27893</v>
      </c>
      <c r="F90" s="23">
        <v>16</v>
      </c>
      <c r="G90" s="23">
        <v>17376</v>
      </c>
      <c r="H90" s="24">
        <f>Sales_Data[[#This Row],[Sales]]-Sales_Data[[#This Row],[Cost]]</f>
        <v>10517</v>
      </c>
      <c r="I90" s="25">
        <f>Sales_Data[[#This Row],[Profit ]]/Sales_Data[[#This Row],[Sales]]</f>
        <v>0.37704800487577528</v>
      </c>
    </row>
    <row r="91" spans="1:9" x14ac:dyDescent="0.35">
      <c r="A91" s="22">
        <v>45378</v>
      </c>
      <c r="B91" s="23" t="s">
        <v>7</v>
      </c>
      <c r="C91" s="23" t="s">
        <v>15</v>
      </c>
      <c r="D91" s="23" t="s">
        <v>22</v>
      </c>
      <c r="E91" s="23">
        <v>6386</v>
      </c>
      <c r="F91" s="23">
        <v>2</v>
      </c>
      <c r="G91" s="23">
        <v>4171</v>
      </c>
      <c r="H91" s="24">
        <f>Sales_Data[[#This Row],[Sales]]-Sales_Data[[#This Row],[Cost]]</f>
        <v>2215</v>
      </c>
      <c r="I91" s="25">
        <f>Sales_Data[[#This Row],[Profit ]]/Sales_Data[[#This Row],[Sales]]</f>
        <v>0.34685248982148448</v>
      </c>
    </row>
    <row r="92" spans="1:9" x14ac:dyDescent="0.35">
      <c r="A92" s="22">
        <v>45457</v>
      </c>
      <c r="B92" s="23" t="s">
        <v>17</v>
      </c>
      <c r="C92" s="23" t="s">
        <v>15</v>
      </c>
      <c r="D92" s="23" t="s">
        <v>18</v>
      </c>
      <c r="E92" s="23">
        <v>17915</v>
      </c>
      <c r="F92" s="23">
        <v>10</v>
      </c>
      <c r="G92" s="23">
        <v>13647</v>
      </c>
      <c r="H92" s="24">
        <f>Sales_Data[[#This Row],[Sales]]-Sales_Data[[#This Row],[Cost]]</f>
        <v>4268</v>
      </c>
      <c r="I92" s="25">
        <f>Sales_Data[[#This Row],[Profit ]]/Sales_Data[[#This Row],[Sales]]</f>
        <v>0.23823611498744068</v>
      </c>
    </row>
    <row r="93" spans="1:9" x14ac:dyDescent="0.35">
      <c r="A93" s="22">
        <v>45413</v>
      </c>
      <c r="B93" s="23" t="s">
        <v>17</v>
      </c>
      <c r="C93" s="23" t="s">
        <v>11</v>
      </c>
      <c r="D93" s="23" t="s">
        <v>12</v>
      </c>
      <c r="E93" s="23">
        <v>5635</v>
      </c>
      <c r="F93" s="23">
        <v>12</v>
      </c>
      <c r="G93" s="23">
        <v>3949</v>
      </c>
      <c r="H93" s="24">
        <f>Sales_Data[[#This Row],[Sales]]-Sales_Data[[#This Row],[Cost]]</f>
        <v>1686</v>
      </c>
      <c r="I93" s="25">
        <f>Sales_Data[[#This Row],[Profit ]]/Sales_Data[[#This Row],[Sales]]</f>
        <v>0.2992014196983141</v>
      </c>
    </row>
    <row r="94" spans="1:9" x14ac:dyDescent="0.35">
      <c r="A94" s="22">
        <v>45422</v>
      </c>
      <c r="B94" s="23" t="s">
        <v>17</v>
      </c>
      <c r="C94" s="23" t="s">
        <v>15</v>
      </c>
      <c r="D94" s="23" t="s">
        <v>21</v>
      </c>
      <c r="E94" s="23">
        <v>26033</v>
      </c>
      <c r="F94" s="23">
        <v>2</v>
      </c>
      <c r="G94" s="23">
        <v>21273</v>
      </c>
      <c r="H94" s="24">
        <f>Sales_Data[[#This Row],[Sales]]-Sales_Data[[#This Row],[Cost]]</f>
        <v>4760</v>
      </c>
      <c r="I94" s="25">
        <f>Sales_Data[[#This Row],[Profit ]]/Sales_Data[[#This Row],[Sales]]</f>
        <v>0.18284485076633503</v>
      </c>
    </row>
    <row r="95" spans="1:9" x14ac:dyDescent="0.35">
      <c r="A95" s="22">
        <v>45325</v>
      </c>
      <c r="B95" s="23" t="s">
        <v>17</v>
      </c>
      <c r="C95" s="23" t="s">
        <v>11</v>
      </c>
      <c r="D95" s="23" t="s">
        <v>14</v>
      </c>
      <c r="E95" s="23">
        <v>10836</v>
      </c>
      <c r="F95" s="23">
        <v>1</v>
      </c>
      <c r="G95" s="23">
        <v>8962</v>
      </c>
      <c r="H95" s="24">
        <f>Sales_Data[[#This Row],[Sales]]-Sales_Data[[#This Row],[Cost]]</f>
        <v>1874</v>
      </c>
      <c r="I95" s="25">
        <f>Sales_Data[[#This Row],[Profit ]]/Sales_Data[[#This Row],[Sales]]</f>
        <v>0.1729420450350683</v>
      </c>
    </row>
    <row r="96" spans="1:9" x14ac:dyDescent="0.35">
      <c r="A96" s="22">
        <v>45292</v>
      </c>
      <c r="B96" s="23" t="s">
        <v>10</v>
      </c>
      <c r="C96" s="23" t="s">
        <v>15</v>
      </c>
      <c r="D96" s="23" t="s">
        <v>18</v>
      </c>
      <c r="E96" s="23">
        <v>30034</v>
      </c>
      <c r="F96" s="23">
        <v>14</v>
      </c>
      <c r="G96" s="23">
        <v>23304</v>
      </c>
      <c r="H96" s="24">
        <f>Sales_Data[[#This Row],[Sales]]-Sales_Data[[#This Row],[Cost]]</f>
        <v>6730</v>
      </c>
      <c r="I96" s="25">
        <f>Sales_Data[[#This Row],[Profit ]]/Sales_Data[[#This Row],[Sales]]</f>
        <v>0.22407937670639941</v>
      </c>
    </row>
    <row r="97" spans="1:9" x14ac:dyDescent="0.35">
      <c r="A97" s="22">
        <v>45370</v>
      </c>
      <c r="B97" s="23" t="s">
        <v>7</v>
      </c>
      <c r="C97" s="23" t="s">
        <v>11</v>
      </c>
      <c r="D97" s="23" t="s">
        <v>14</v>
      </c>
      <c r="E97" s="23">
        <v>8358</v>
      </c>
      <c r="F97" s="23">
        <v>1</v>
      </c>
      <c r="G97" s="23">
        <v>5624</v>
      </c>
      <c r="H97" s="24">
        <f>Sales_Data[[#This Row],[Sales]]-Sales_Data[[#This Row],[Cost]]</f>
        <v>2734</v>
      </c>
      <c r="I97" s="25">
        <f>Sales_Data[[#This Row],[Profit ]]/Sales_Data[[#This Row],[Sales]]</f>
        <v>0.32711174922230196</v>
      </c>
    </row>
    <row r="98" spans="1:9" x14ac:dyDescent="0.35">
      <c r="A98" s="22">
        <v>45344</v>
      </c>
      <c r="B98" s="23" t="s">
        <v>17</v>
      </c>
      <c r="C98" s="23" t="s">
        <v>11</v>
      </c>
      <c r="D98" s="23" t="s">
        <v>19</v>
      </c>
      <c r="E98" s="23">
        <v>11239</v>
      </c>
      <c r="F98" s="23">
        <v>11</v>
      </c>
      <c r="G98" s="23">
        <v>7131</v>
      </c>
      <c r="H98" s="24">
        <f>Sales_Data[[#This Row],[Sales]]-Sales_Data[[#This Row],[Cost]]</f>
        <v>4108</v>
      </c>
      <c r="I98" s="25">
        <f>Sales_Data[[#This Row],[Profit ]]/Sales_Data[[#This Row],[Sales]]</f>
        <v>0.36551294599163625</v>
      </c>
    </row>
    <row r="99" spans="1:9" x14ac:dyDescent="0.35">
      <c r="A99" s="22">
        <v>45388</v>
      </c>
      <c r="B99" s="23" t="s">
        <v>10</v>
      </c>
      <c r="C99" s="23" t="s">
        <v>11</v>
      </c>
      <c r="D99" s="23" t="s">
        <v>12</v>
      </c>
      <c r="E99" s="23">
        <v>13247</v>
      </c>
      <c r="F99" s="23">
        <v>16</v>
      </c>
      <c r="G99" s="23">
        <v>11100</v>
      </c>
      <c r="H99" s="24">
        <f>Sales_Data[[#This Row],[Sales]]-Sales_Data[[#This Row],[Cost]]</f>
        <v>2147</v>
      </c>
      <c r="I99" s="25">
        <f>Sales_Data[[#This Row],[Profit ]]/Sales_Data[[#This Row],[Sales]]</f>
        <v>0.16207443194685589</v>
      </c>
    </row>
    <row r="100" spans="1:9" x14ac:dyDescent="0.35">
      <c r="A100" s="22">
        <v>45464</v>
      </c>
      <c r="B100" s="23" t="s">
        <v>13</v>
      </c>
      <c r="C100" s="23" t="s">
        <v>11</v>
      </c>
      <c r="D100" s="23" t="s">
        <v>24</v>
      </c>
      <c r="E100" s="23">
        <v>7382</v>
      </c>
      <c r="F100" s="23">
        <v>19</v>
      </c>
      <c r="G100" s="23">
        <v>6104</v>
      </c>
      <c r="H100" s="24">
        <f>Sales_Data[[#This Row],[Sales]]-Sales_Data[[#This Row],[Cost]]</f>
        <v>1278</v>
      </c>
      <c r="I100" s="25">
        <f>Sales_Data[[#This Row],[Profit ]]/Sales_Data[[#This Row],[Sales]]</f>
        <v>0.17312381468436738</v>
      </c>
    </row>
    <row r="101" spans="1:9" x14ac:dyDescent="0.35">
      <c r="A101" s="22">
        <v>45383</v>
      </c>
      <c r="B101" s="23" t="s">
        <v>13</v>
      </c>
      <c r="C101" s="23" t="s">
        <v>15</v>
      </c>
      <c r="D101" s="23" t="s">
        <v>22</v>
      </c>
      <c r="E101" s="23">
        <v>9631</v>
      </c>
      <c r="F101" s="23">
        <v>10</v>
      </c>
      <c r="G101" s="23">
        <v>7804</v>
      </c>
      <c r="H101" s="24">
        <f>Sales_Data[[#This Row],[Sales]]-Sales_Data[[#This Row],[Cost]]</f>
        <v>1827</v>
      </c>
      <c r="I101" s="25">
        <f>Sales_Data[[#This Row],[Profit ]]/Sales_Data[[#This Row],[Sales]]</f>
        <v>0.18969992731803551</v>
      </c>
    </row>
    <row r="102" spans="1:9" x14ac:dyDescent="0.35">
      <c r="A102" s="22">
        <v>45306</v>
      </c>
      <c r="B102" s="23" t="s">
        <v>7</v>
      </c>
      <c r="C102" s="23" t="s">
        <v>11</v>
      </c>
      <c r="D102" s="23" t="s">
        <v>12</v>
      </c>
      <c r="E102" s="23">
        <v>11396</v>
      </c>
      <c r="F102" s="23">
        <v>12</v>
      </c>
      <c r="G102" s="23">
        <v>9065</v>
      </c>
      <c r="H102" s="24">
        <f>Sales_Data[[#This Row],[Sales]]-Sales_Data[[#This Row],[Cost]]</f>
        <v>2331</v>
      </c>
      <c r="I102" s="25">
        <f>Sales_Data[[#This Row],[Profit ]]/Sales_Data[[#This Row],[Sales]]</f>
        <v>0.20454545454545456</v>
      </c>
    </row>
    <row r="103" spans="1:9" x14ac:dyDescent="0.35">
      <c r="A103" s="22">
        <v>45358</v>
      </c>
      <c r="B103" s="23" t="s">
        <v>7</v>
      </c>
      <c r="C103" s="23" t="s">
        <v>15</v>
      </c>
      <c r="D103" s="23" t="s">
        <v>16</v>
      </c>
      <c r="E103" s="23">
        <v>24702</v>
      </c>
      <c r="F103" s="23">
        <v>10</v>
      </c>
      <c r="G103" s="23">
        <v>19056</v>
      </c>
      <c r="H103" s="24">
        <f>Sales_Data[[#This Row],[Sales]]-Sales_Data[[#This Row],[Cost]]</f>
        <v>5646</v>
      </c>
      <c r="I103" s="25">
        <f>Sales_Data[[#This Row],[Profit ]]/Sales_Data[[#This Row],[Sales]]</f>
        <v>0.228564488705368</v>
      </c>
    </row>
    <row r="104" spans="1:9" x14ac:dyDescent="0.35">
      <c r="A104" s="22">
        <v>45310</v>
      </c>
      <c r="B104" s="23" t="s">
        <v>10</v>
      </c>
      <c r="C104" s="23" t="s">
        <v>15</v>
      </c>
      <c r="D104" s="23" t="s">
        <v>16</v>
      </c>
      <c r="E104" s="23">
        <v>33190</v>
      </c>
      <c r="F104" s="23">
        <v>14</v>
      </c>
      <c r="G104" s="23">
        <v>22705</v>
      </c>
      <c r="H104" s="24">
        <f>Sales_Data[[#This Row],[Sales]]-Sales_Data[[#This Row],[Cost]]</f>
        <v>10485</v>
      </c>
      <c r="I104" s="25">
        <f>Sales_Data[[#This Row],[Profit ]]/Sales_Data[[#This Row],[Sales]]</f>
        <v>0.31590840614642962</v>
      </c>
    </row>
    <row r="105" spans="1:9" x14ac:dyDescent="0.35">
      <c r="A105" s="22">
        <v>45449</v>
      </c>
      <c r="B105" s="23" t="s">
        <v>13</v>
      </c>
      <c r="C105" s="23" t="s">
        <v>15</v>
      </c>
      <c r="D105" s="23" t="s">
        <v>22</v>
      </c>
      <c r="E105" s="23">
        <v>10851</v>
      </c>
      <c r="F105" s="23">
        <v>5</v>
      </c>
      <c r="G105" s="23">
        <v>8475</v>
      </c>
      <c r="H105" s="24">
        <f>Sales_Data[[#This Row],[Sales]]-Sales_Data[[#This Row],[Cost]]</f>
        <v>2376</v>
      </c>
      <c r="I105" s="25">
        <f>Sales_Data[[#This Row],[Profit ]]/Sales_Data[[#This Row],[Sales]]</f>
        <v>0.21896599391761129</v>
      </c>
    </row>
    <row r="106" spans="1:9" x14ac:dyDescent="0.35">
      <c r="A106" s="22">
        <v>45392</v>
      </c>
      <c r="B106" s="23" t="s">
        <v>13</v>
      </c>
      <c r="C106" s="23" t="s">
        <v>11</v>
      </c>
      <c r="D106" s="23" t="s">
        <v>19</v>
      </c>
      <c r="E106" s="23">
        <v>12211</v>
      </c>
      <c r="F106" s="23">
        <v>6</v>
      </c>
      <c r="G106" s="23">
        <v>8949</v>
      </c>
      <c r="H106" s="24">
        <f>Sales_Data[[#This Row],[Sales]]-Sales_Data[[#This Row],[Cost]]</f>
        <v>3262</v>
      </c>
      <c r="I106" s="25">
        <f>Sales_Data[[#This Row],[Profit ]]/Sales_Data[[#This Row],[Sales]]</f>
        <v>0.26713618868233557</v>
      </c>
    </row>
    <row r="107" spans="1:9" x14ac:dyDescent="0.35">
      <c r="A107" s="22">
        <v>45317</v>
      </c>
      <c r="B107" s="23" t="s">
        <v>7</v>
      </c>
      <c r="C107" s="23" t="s">
        <v>11</v>
      </c>
      <c r="D107" s="23" t="s">
        <v>24</v>
      </c>
      <c r="E107" s="23">
        <v>23371</v>
      </c>
      <c r="F107" s="23">
        <v>15</v>
      </c>
      <c r="G107" s="23">
        <v>18037</v>
      </c>
      <c r="H107" s="24">
        <f>Sales_Data[[#This Row],[Sales]]-Sales_Data[[#This Row],[Cost]]</f>
        <v>5334</v>
      </c>
      <c r="I107" s="25">
        <f>Sales_Data[[#This Row],[Profit ]]/Sales_Data[[#This Row],[Sales]]</f>
        <v>0.22823156903855205</v>
      </c>
    </row>
    <row r="108" spans="1:9" x14ac:dyDescent="0.35">
      <c r="A108" s="22">
        <v>45445</v>
      </c>
      <c r="B108" s="23" t="s">
        <v>7</v>
      </c>
      <c r="C108" s="23" t="s">
        <v>11</v>
      </c>
      <c r="D108" s="23" t="s">
        <v>19</v>
      </c>
      <c r="E108" s="23">
        <v>22883</v>
      </c>
      <c r="F108" s="23">
        <v>14</v>
      </c>
      <c r="G108" s="23">
        <v>19050</v>
      </c>
      <c r="H108" s="24">
        <f>Sales_Data[[#This Row],[Sales]]-Sales_Data[[#This Row],[Cost]]</f>
        <v>3833</v>
      </c>
      <c r="I108" s="25">
        <f>Sales_Data[[#This Row],[Profit ]]/Sales_Data[[#This Row],[Sales]]</f>
        <v>0.16750426080496439</v>
      </c>
    </row>
    <row r="109" spans="1:9" x14ac:dyDescent="0.35">
      <c r="A109" s="22">
        <v>45356</v>
      </c>
      <c r="B109" s="23" t="s">
        <v>7</v>
      </c>
      <c r="C109" s="23" t="s">
        <v>11</v>
      </c>
      <c r="D109" s="23" t="s">
        <v>19</v>
      </c>
      <c r="E109" s="23">
        <v>34995</v>
      </c>
      <c r="F109" s="23">
        <v>2</v>
      </c>
      <c r="G109" s="23">
        <v>22091</v>
      </c>
      <c r="H109" s="24">
        <f>Sales_Data[[#This Row],[Sales]]-Sales_Data[[#This Row],[Cost]]</f>
        <v>12904</v>
      </c>
      <c r="I109" s="25">
        <f>Sales_Data[[#This Row],[Profit ]]/Sales_Data[[#This Row],[Sales]]</f>
        <v>0.36873839119874269</v>
      </c>
    </row>
    <row r="110" spans="1:9" x14ac:dyDescent="0.35">
      <c r="A110" s="22">
        <v>45397</v>
      </c>
      <c r="B110" s="23" t="s">
        <v>10</v>
      </c>
      <c r="C110" s="23" t="s">
        <v>15</v>
      </c>
      <c r="D110" s="23" t="s">
        <v>16</v>
      </c>
      <c r="E110" s="23">
        <v>33008</v>
      </c>
      <c r="F110" s="23">
        <v>17</v>
      </c>
      <c r="G110" s="23">
        <v>26395</v>
      </c>
      <c r="H110" s="24">
        <f>Sales_Data[[#This Row],[Sales]]-Sales_Data[[#This Row],[Cost]]</f>
        <v>6613</v>
      </c>
      <c r="I110" s="25">
        <f>Sales_Data[[#This Row],[Profit ]]/Sales_Data[[#This Row],[Sales]]</f>
        <v>0.20034537081919535</v>
      </c>
    </row>
    <row r="111" spans="1:9" x14ac:dyDescent="0.35">
      <c r="A111" s="22">
        <v>45456</v>
      </c>
      <c r="B111" s="23" t="s">
        <v>7</v>
      </c>
      <c r="C111" s="23" t="s">
        <v>11</v>
      </c>
      <c r="D111" s="23" t="s">
        <v>19</v>
      </c>
      <c r="E111" s="23">
        <v>5825</v>
      </c>
      <c r="F111" s="23">
        <v>7</v>
      </c>
      <c r="G111" s="23">
        <v>4549</v>
      </c>
      <c r="H111" s="24">
        <f>Sales_Data[[#This Row],[Sales]]-Sales_Data[[#This Row],[Cost]]</f>
        <v>1276</v>
      </c>
      <c r="I111" s="25">
        <f>Sales_Data[[#This Row],[Profit ]]/Sales_Data[[#This Row],[Sales]]</f>
        <v>0.21905579399141631</v>
      </c>
    </row>
    <row r="112" spans="1:9" x14ac:dyDescent="0.35">
      <c r="A112" s="22">
        <v>45442</v>
      </c>
      <c r="B112" s="23" t="s">
        <v>17</v>
      </c>
      <c r="C112" s="23" t="s">
        <v>11</v>
      </c>
      <c r="D112" s="23" t="s">
        <v>14</v>
      </c>
      <c r="E112" s="23">
        <v>17430</v>
      </c>
      <c r="F112" s="23">
        <v>20</v>
      </c>
      <c r="G112" s="23">
        <v>11808</v>
      </c>
      <c r="H112" s="24">
        <f>Sales_Data[[#This Row],[Sales]]-Sales_Data[[#This Row],[Cost]]</f>
        <v>5622</v>
      </c>
      <c r="I112" s="25">
        <f>Sales_Data[[#This Row],[Profit ]]/Sales_Data[[#This Row],[Sales]]</f>
        <v>0.32254733218588638</v>
      </c>
    </row>
    <row r="113" spans="1:9" x14ac:dyDescent="0.35">
      <c r="A113" s="22">
        <v>45314</v>
      </c>
      <c r="B113" s="23" t="s">
        <v>17</v>
      </c>
      <c r="C113" s="23" t="s">
        <v>15</v>
      </c>
      <c r="D113" s="23" t="s">
        <v>16</v>
      </c>
      <c r="E113" s="23">
        <v>11775</v>
      </c>
      <c r="F113" s="23">
        <v>10</v>
      </c>
      <c r="G113" s="23">
        <v>9990</v>
      </c>
      <c r="H113" s="24">
        <f>Sales_Data[[#This Row],[Sales]]-Sales_Data[[#This Row],[Cost]]</f>
        <v>1785</v>
      </c>
      <c r="I113" s="25">
        <f>Sales_Data[[#This Row],[Profit ]]/Sales_Data[[#This Row],[Sales]]</f>
        <v>0.15159235668789808</v>
      </c>
    </row>
    <row r="114" spans="1:9" x14ac:dyDescent="0.35">
      <c r="A114" s="22">
        <v>45335</v>
      </c>
      <c r="B114" s="23" t="s">
        <v>10</v>
      </c>
      <c r="C114" s="23" t="s">
        <v>15</v>
      </c>
      <c r="D114" s="23" t="s">
        <v>18</v>
      </c>
      <c r="E114" s="23">
        <v>20454</v>
      </c>
      <c r="F114" s="23">
        <v>12</v>
      </c>
      <c r="G114" s="23">
        <v>15528</v>
      </c>
      <c r="H114" s="24">
        <f>Sales_Data[[#This Row],[Sales]]-Sales_Data[[#This Row],[Cost]]</f>
        <v>4926</v>
      </c>
      <c r="I114" s="25">
        <f>Sales_Data[[#This Row],[Profit ]]/Sales_Data[[#This Row],[Sales]]</f>
        <v>0.24083308888237021</v>
      </c>
    </row>
    <row r="115" spans="1:9" x14ac:dyDescent="0.35">
      <c r="A115" s="22">
        <v>45437</v>
      </c>
      <c r="B115" s="23" t="s">
        <v>7</v>
      </c>
      <c r="C115" s="23" t="s">
        <v>8</v>
      </c>
      <c r="D115" s="23" t="s">
        <v>9</v>
      </c>
      <c r="E115" s="23">
        <v>27460</v>
      </c>
      <c r="F115" s="23">
        <v>18</v>
      </c>
      <c r="G115" s="23">
        <v>20269</v>
      </c>
      <c r="H115" s="24">
        <f>Sales_Data[[#This Row],[Sales]]-Sales_Data[[#This Row],[Cost]]</f>
        <v>7191</v>
      </c>
      <c r="I115" s="25">
        <f>Sales_Data[[#This Row],[Profit ]]/Sales_Data[[#This Row],[Sales]]</f>
        <v>0.26187181354697742</v>
      </c>
    </row>
    <row r="116" spans="1:9" x14ac:dyDescent="0.35">
      <c r="A116" s="22">
        <v>45399</v>
      </c>
      <c r="B116" s="23" t="s">
        <v>17</v>
      </c>
      <c r="C116" s="23" t="s">
        <v>15</v>
      </c>
      <c r="D116" s="23" t="s">
        <v>18</v>
      </c>
      <c r="E116" s="23">
        <v>7386</v>
      </c>
      <c r="F116" s="23">
        <v>1</v>
      </c>
      <c r="G116" s="23">
        <v>4671</v>
      </c>
      <c r="H116" s="24">
        <f>Sales_Data[[#This Row],[Sales]]-Sales_Data[[#This Row],[Cost]]</f>
        <v>2715</v>
      </c>
      <c r="I116" s="25">
        <f>Sales_Data[[#This Row],[Profit ]]/Sales_Data[[#This Row],[Sales]]</f>
        <v>0.36758732737611699</v>
      </c>
    </row>
    <row r="117" spans="1:9" x14ac:dyDescent="0.35">
      <c r="A117" s="22">
        <v>45404</v>
      </c>
      <c r="B117" s="23" t="s">
        <v>13</v>
      </c>
      <c r="C117" s="23" t="s">
        <v>8</v>
      </c>
      <c r="D117" s="23" t="s">
        <v>23</v>
      </c>
      <c r="E117" s="23">
        <v>35902</v>
      </c>
      <c r="F117" s="23">
        <v>10</v>
      </c>
      <c r="G117" s="23">
        <v>24817</v>
      </c>
      <c r="H117" s="24">
        <f>Sales_Data[[#This Row],[Sales]]-Sales_Data[[#This Row],[Cost]]</f>
        <v>11085</v>
      </c>
      <c r="I117" s="25">
        <f>Sales_Data[[#This Row],[Profit ]]/Sales_Data[[#This Row],[Sales]]</f>
        <v>0.3087571723023787</v>
      </c>
    </row>
    <row r="118" spans="1:9" x14ac:dyDescent="0.35">
      <c r="A118" s="22">
        <v>45343</v>
      </c>
      <c r="B118" s="23" t="s">
        <v>7</v>
      </c>
      <c r="C118" s="23" t="s">
        <v>11</v>
      </c>
      <c r="D118" s="23" t="s">
        <v>24</v>
      </c>
      <c r="E118" s="23">
        <v>19031</v>
      </c>
      <c r="F118" s="23">
        <v>15</v>
      </c>
      <c r="G118" s="23">
        <v>16083</v>
      </c>
      <c r="H118" s="24">
        <f>Sales_Data[[#This Row],[Sales]]-Sales_Data[[#This Row],[Cost]]</f>
        <v>2948</v>
      </c>
      <c r="I118" s="25">
        <f>Sales_Data[[#This Row],[Profit ]]/Sales_Data[[#This Row],[Sales]]</f>
        <v>0.1549051547475172</v>
      </c>
    </row>
    <row r="119" spans="1:9" x14ac:dyDescent="0.35">
      <c r="A119" s="22">
        <v>45396</v>
      </c>
      <c r="B119" s="23" t="s">
        <v>17</v>
      </c>
      <c r="C119" s="23" t="s">
        <v>15</v>
      </c>
      <c r="D119" s="23" t="s">
        <v>22</v>
      </c>
      <c r="E119" s="23">
        <v>20736</v>
      </c>
      <c r="F119" s="23">
        <v>8</v>
      </c>
      <c r="G119" s="23">
        <v>13824</v>
      </c>
      <c r="H119" s="24">
        <f>Sales_Data[[#This Row],[Sales]]-Sales_Data[[#This Row],[Cost]]</f>
        <v>6912</v>
      </c>
      <c r="I119" s="25">
        <f>Sales_Data[[#This Row],[Profit ]]/Sales_Data[[#This Row],[Sales]]</f>
        <v>0.33333333333333331</v>
      </c>
    </row>
    <row r="120" spans="1:9" x14ac:dyDescent="0.35">
      <c r="A120" s="22">
        <v>45384</v>
      </c>
      <c r="B120" s="23" t="s">
        <v>7</v>
      </c>
      <c r="C120" s="23" t="s">
        <v>15</v>
      </c>
      <c r="D120" s="23" t="s">
        <v>22</v>
      </c>
      <c r="E120" s="23">
        <v>7433</v>
      </c>
      <c r="F120" s="23">
        <v>15</v>
      </c>
      <c r="G120" s="23">
        <v>6316</v>
      </c>
      <c r="H120" s="24">
        <f>Sales_Data[[#This Row],[Sales]]-Sales_Data[[#This Row],[Cost]]</f>
        <v>1117</v>
      </c>
      <c r="I120" s="25">
        <f>Sales_Data[[#This Row],[Profit ]]/Sales_Data[[#This Row],[Sales]]</f>
        <v>0.15027579712094713</v>
      </c>
    </row>
    <row r="121" spans="1:9" x14ac:dyDescent="0.35">
      <c r="A121" s="22">
        <v>45313</v>
      </c>
      <c r="B121" s="23" t="s">
        <v>17</v>
      </c>
      <c r="C121" s="23" t="s">
        <v>8</v>
      </c>
      <c r="D121" s="23" t="s">
        <v>20</v>
      </c>
      <c r="E121" s="23">
        <v>18247</v>
      </c>
      <c r="F121" s="23">
        <v>20</v>
      </c>
      <c r="G121" s="23">
        <v>13790</v>
      </c>
      <c r="H121" s="24">
        <f>Sales_Data[[#This Row],[Sales]]-Sales_Data[[#This Row],[Cost]]</f>
        <v>4457</v>
      </c>
      <c r="I121" s="25">
        <f>Sales_Data[[#This Row],[Profit ]]/Sales_Data[[#This Row],[Sales]]</f>
        <v>0.24425933030087138</v>
      </c>
    </row>
    <row r="122" spans="1:9" x14ac:dyDescent="0.35">
      <c r="A122" s="22">
        <v>45455</v>
      </c>
      <c r="B122" s="23" t="s">
        <v>17</v>
      </c>
      <c r="C122" s="23" t="s">
        <v>11</v>
      </c>
      <c r="D122" s="23" t="s">
        <v>19</v>
      </c>
      <c r="E122" s="23">
        <v>29584</v>
      </c>
      <c r="F122" s="23">
        <v>3</v>
      </c>
      <c r="G122" s="23">
        <v>21137</v>
      </c>
      <c r="H122" s="24">
        <f>Sales_Data[[#This Row],[Sales]]-Sales_Data[[#This Row],[Cost]]</f>
        <v>8447</v>
      </c>
      <c r="I122" s="25">
        <f>Sales_Data[[#This Row],[Profit ]]/Sales_Data[[#This Row],[Sales]]</f>
        <v>0.28552595997836666</v>
      </c>
    </row>
    <row r="123" spans="1:9" x14ac:dyDescent="0.35">
      <c r="A123" s="22">
        <v>45323</v>
      </c>
      <c r="B123" s="23" t="s">
        <v>10</v>
      </c>
      <c r="C123" s="23" t="s">
        <v>8</v>
      </c>
      <c r="D123" s="23" t="s">
        <v>25</v>
      </c>
      <c r="E123" s="23">
        <v>18520</v>
      </c>
      <c r="F123" s="23">
        <v>3</v>
      </c>
      <c r="G123" s="23">
        <v>12510</v>
      </c>
      <c r="H123" s="24">
        <f>Sales_Data[[#This Row],[Sales]]-Sales_Data[[#This Row],[Cost]]</f>
        <v>6010</v>
      </c>
      <c r="I123" s="25">
        <f>Sales_Data[[#This Row],[Profit ]]/Sales_Data[[#This Row],[Sales]]</f>
        <v>0.32451403887688984</v>
      </c>
    </row>
    <row r="124" spans="1:9" x14ac:dyDescent="0.35">
      <c r="A124" s="22">
        <v>45301</v>
      </c>
      <c r="B124" s="23" t="s">
        <v>13</v>
      </c>
      <c r="C124" s="23" t="s">
        <v>8</v>
      </c>
      <c r="D124" s="23" t="s">
        <v>20</v>
      </c>
      <c r="E124" s="23">
        <v>34096</v>
      </c>
      <c r="F124" s="23">
        <v>5</v>
      </c>
      <c r="G124" s="23">
        <v>24777</v>
      </c>
      <c r="H124" s="24">
        <f>Sales_Data[[#This Row],[Sales]]-Sales_Data[[#This Row],[Cost]]</f>
        <v>9319</v>
      </c>
      <c r="I124" s="25">
        <f>Sales_Data[[#This Row],[Profit ]]/Sales_Data[[#This Row],[Sales]]</f>
        <v>0.27331651806663537</v>
      </c>
    </row>
    <row r="125" spans="1:9" x14ac:dyDescent="0.35">
      <c r="A125" s="22">
        <v>45387</v>
      </c>
      <c r="B125" s="23" t="s">
        <v>17</v>
      </c>
      <c r="C125" s="23" t="s">
        <v>15</v>
      </c>
      <c r="D125" s="23" t="s">
        <v>18</v>
      </c>
      <c r="E125" s="23">
        <v>8864</v>
      </c>
      <c r="F125" s="23">
        <v>10</v>
      </c>
      <c r="G125" s="23">
        <v>6035</v>
      </c>
      <c r="H125" s="24">
        <f>Sales_Data[[#This Row],[Sales]]-Sales_Data[[#This Row],[Cost]]</f>
        <v>2829</v>
      </c>
      <c r="I125" s="25">
        <f>Sales_Data[[#This Row],[Profit ]]/Sales_Data[[#This Row],[Sales]]</f>
        <v>0.31915613718411551</v>
      </c>
    </row>
    <row r="126" spans="1:9" x14ac:dyDescent="0.35">
      <c r="A126" s="22">
        <v>45363</v>
      </c>
      <c r="B126" s="23" t="s">
        <v>17</v>
      </c>
      <c r="C126" s="23" t="s">
        <v>11</v>
      </c>
      <c r="D126" s="23" t="s">
        <v>24</v>
      </c>
      <c r="E126" s="23">
        <v>5325</v>
      </c>
      <c r="F126" s="23">
        <v>19</v>
      </c>
      <c r="G126" s="23">
        <v>4202</v>
      </c>
      <c r="H126" s="24">
        <f>Sales_Data[[#This Row],[Sales]]-Sales_Data[[#This Row],[Cost]]</f>
        <v>1123</v>
      </c>
      <c r="I126" s="25">
        <f>Sales_Data[[#This Row],[Profit ]]/Sales_Data[[#This Row],[Sales]]</f>
        <v>0.21089201877934272</v>
      </c>
    </row>
    <row r="127" spans="1:9" x14ac:dyDescent="0.35">
      <c r="A127" s="22">
        <v>45312</v>
      </c>
      <c r="B127" s="23" t="s">
        <v>7</v>
      </c>
      <c r="C127" s="23" t="s">
        <v>8</v>
      </c>
      <c r="D127" s="23" t="s">
        <v>9</v>
      </c>
      <c r="E127" s="23">
        <v>6645</v>
      </c>
      <c r="F127" s="23">
        <v>13</v>
      </c>
      <c r="G127" s="23">
        <v>5507</v>
      </c>
      <c r="H127" s="24">
        <f>Sales_Data[[#This Row],[Sales]]-Sales_Data[[#This Row],[Cost]]</f>
        <v>1138</v>
      </c>
      <c r="I127" s="25">
        <f>Sales_Data[[#This Row],[Profit ]]/Sales_Data[[#This Row],[Sales]]</f>
        <v>0.17125658389766743</v>
      </c>
    </row>
    <row r="128" spans="1:9" x14ac:dyDescent="0.35">
      <c r="A128" s="22">
        <v>45398</v>
      </c>
      <c r="B128" s="23" t="s">
        <v>7</v>
      </c>
      <c r="C128" s="23" t="s">
        <v>11</v>
      </c>
      <c r="D128" s="23" t="s">
        <v>19</v>
      </c>
      <c r="E128" s="23">
        <v>22726</v>
      </c>
      <c r="F128" s="23">
        <v>15</v>
      </c>
      <c r="G128" s="23">
        <v>16483</v>
      </c>
      <c r="H128" s="24">
        <f>Sales_Data[[#This Row],[Sales]]-Sales_Data[[#This Row],[Cost]]</f>
        <v>6243</v>
      </c>
      <c r="I128" s="25">
        <f>Sales_Data[[#This Row],[Profit ]]/Sales_Data[[#This Row],[Sales]]</f>
        <v>0.27470738361348235</v>
      </c>
    </row>
    <row r="129" spans="1:9" x14ac:dyDescent="0.35">
      <c r="A129" s="22">
        <v>45438</v>
      </c>
      <c r="B129" s="23" t="s">
        <v>13</v>
      </c>
      <c r="C129" s="23" t="s">
        <v>11</v>
      </c>
      <c r="D129" s="23" t="s">
        <v>24</v>
      </c>
      <c r="E129" s="23">
        <v>20180</v>
      </c>
      <c r="F129" s="23">
        <v>5</v>
      </c>
      <c r="G129" s="23">
        <v>14590</v>
      </c>
      <c r="H129" s="24">
        <f>Sales_Data[[#This Row],[Sales]]-Sales_Data[[#This Row],[Cost]]</f>
        <v>5590</v>
      </c>
      <c r="I129" s="25">
        <f>Sales_Data[[#This Row],[Profit ]]/Sales_Data[[#This Row],[Sales]]</f>
        <v>0.2770069375619425</v>
      </c>
    </row>
    <row r="130" spans="1:9" x14ac:dyDescent="0.35">
      <c r="A130" s="22">
        <v>45394</v>
      </c>
      <c r="B130" s="23" t="s">
        <v>17</v>
      </c>
      <c r="C130" s="23" t="s">
        <v>8</v>
      </c>
      <c r="D130" s="23" t="s">
        <v>20</v>
      </c>
      <c r="E130" s="23">
        <v>19890</v>
      </c>
      <c r="F130" s="23">
        <v>20</v>
      </c>
      <c r="G130" s="23">
        <v>13372</v>
      </c>
      <c r="H130" s="24">
        <f>Sales_Data[[#This Row],[Sales]]-Sales_Data[[#This Row],[Cost]]</f>
        <v>6518</v>
      </c>
      <c r="I130" s="25">
        <f>Sales_Data[[#This Row],[Profit ]]/Sales_Data[[#This Row],[Sales]]</f>
        <v>0.32770236299648065</v>
      </c>
    </row>
    <row r="131" spans="1:9" x14ac:dyDescent="0.35">
      <c r="A131" s="22">
        <v>45451</v>
      </c>
      <c r="B131" s="23" t="s">
        <v>13</v>
      </c>
      <c r="C131" s="23" t="s">
        <v>15</v>
      </c>
      <c r="D131" s="23" t="s">
        <v>21</v>
      </c>
      <c r="E131" s="23">
        <v>22761</v>
      </c>
      <c r="F131" s="23">
        <v>4</v>
      </c>
      <c r="G131" s="23">
        <v>15711</v>
      </c>
      <c r="H131" s="24">
        <f>Sales_Data[[#This Row],[Sales]]-Sales_Data[[#This Row],[Cost]]</f>
        <v>7050</v>
      </c>
      <c r="I131" s="25">
        <f>Sales_Data[[#This Row],[Profit ]]/Sales_Data[[#This Row],[Sales]]</f>
        <v>0.30974034532753392</v>
      </c>
    </row>
    <row r="132" spans="1:9" x14ac:dyDescent="0.35">
      <c r="A132" s="22">
        <v>45457</v>
      </c>
      <c r="B132" s="23" t="s">
        <v>10</v>
      </c>
      <c r="C132" s="23" t="s">
        <v>11</v>
      </c>
      <c r="D132" s="23" t="s">
        <v>12</v>
      </c>
      <c r="E132" s="23">
        <v>16419</v>
      </c>
      <c r="F132" s="23">
        <v>20</v>
      </c>
      <c r="G132" s="23">
        <v>12602</v>
      </c>
      <c r="H132" s="24">
        <f>Sales_Data[[#This Row],[Sales]]-Sales_Data[[#This Row],[Cost]]</f>
        <v>3817</v>
      </c>
      <c r="I132" s="25">
        <f>Sales_Data[[#This Row],[Profit ]]/Sales_Data[[#This Row],[Sales]]</f>
        <v>0.23247457214203057</v>
      </c>
    </row>
    <row r="133" spans="1:9" x14ac:dyDescent="0.35">
      <c r="A133" s="22">
        <v>45302</v>
      </c>
      <c r="B133" s="23" t="s">
        <v>17</v>
      </c>
      <c r="C133" s="23" t="s">
        <v>11</v>
      </c>
      <c r="D133" s="23" t="s">
        <v>14</v>
      </c>
      <c r="E133" s="23">
        <v>10830</v>
      </c>
      <c r="F133" s="23">
        <v>11</v>
      </c>
      <c r="G133" s="23">
        <v>8710</v>
      </c>
      <c r="H133" s="24">
        <f>Sales_Data[[#This Row],[Sales]]-Sales_Data[[#This Row],[Cost]]</f>
        <v>2120</v>
      </c>
      <c r="I133" s="25">
        <f>Sales_Data[[#This Row],[Profit ]]/Sales_Data[[#This Row],[Sales]]</f>
        <v>0.19575253924284394</v>
      </c>
    </row>
    <row r="134" spans="1:9" x14ac:dyDescent="0.35">
      <c r="A134" s="22">
        <v>45427</v>
      </c>
      <c r="B134" s="23" t="s">
        <v>7</v>
      </c>
      <c r="C134" s="23" t="s">
        <v>8</v>
      </c>
      <c r="D134" s="23" t="s">
        <v>20</v>
      </c>
      <c r="E134" s="23">
        <v>37472</v>
      </c>
      <c r="F134" s="23">
        <v>5</v>
      </c>
      <c r="G134" s="23">
        <v>28003</v>
      </c>
      <c r="H134" s="24">
        <f>Sales_Data[[#This Row],[Sales]]-Sales_Data[[#This Row],[Cost]]</f>
        <v>9469</v>
      </c>
      <c r="I134" s="25">
        <f>Sales_Data[[#This Row],[Profit ]]/Sales_Data[[#This Row],[Sales]]</f>
        <v>0.25269534585824083</v>
      </c>
    </row>
    <row r="135" spans="1:9" x14ac:dyDescent="0.35">
      <c r="A135" s="22">
        <v>45470</v>
      </c>
      <c r="B135" s="23" t="s">
        <v>10</v>
      </c>
      <c r="C135" s="23" t="s">
        <v>8</v>
      </c>
      <c r="D135" s="23" t="s">
        <v>20</v>
      </c>
      <c r="E135" s="23">
        <v>22984</v>
      </c>
      <c r="F135" s="23">
        <v>9</v>
      </c>
      <c r="G135" s="23">
        <v>16370</v>
      </c>
      <c r="H135" s="24">
        <f>Sales_Data[[#This Row],[Sales]]-Sales_Data[[#This Row],[Cost]]</f>
        <v>6614</v>
      </c>
      <c r="I135" s="25">
        <f>Sales_Data[[#This Row],[Profit ]]/Sales_Data[[#This Row],[Sales]]</f>
        <v>0.28776540201879569</v>
      </c>
    </row>
    <row r="136" spans="1:9" x14ac:dyDescent="0.35">
      <c r="A136" s="22">
        <v>45327</v>
      </c>
      <c r="B136" s="23" t="s">
        <v>17</v>
      </c>
      <c r="C136" s="23" t="s">
        <v>15</v>
      </c>
      <c r="D136" s="23" t="s">
        <v>22</v>
      </c>
      <c r="E136" s="23">
        <v>31478</v>
      </c>
      <c r="F136" s="23">
        <v>16</v>
      </c>
      <c r="G136" s="23">
        <v>21587</v>
      </c>
      <c r="H136" s="24">
        <f>Sales_Data[[#This Row],[Sales]]-Sales_Data[[#This Row],[Cost]]</f>
        <v>9891</v>
      </c>
      <c r="I136" s="25">
        <f>Sales_Data[[#This Row],[Profit ]]/Sales_Data[[#This Row],[Sales]]</f>
        <v>0.31421945485736069</v>
      </c>
    </row>
    <row r="137" spans="1:9" x14ac:dyDescent="0.35">
      <c r="A137" s="22">
        <v>45470</v>
      </c>
      <c r="B137" s="23" t="s">
        <v>13</v>
      </c>
      <c r="C137" s="23" t="s">
        <v>11</v>
      </c>
      <c r="D137" s="23" t="s">
        <v>12</v>
      </c>
      <c r="E137" s="23">
        <v>6656</v>
      </c>
      <c r="F137" s="23">
        <v>9</v>
      </c>
      <c r="G137" s="23">
        <v>4396</v>
      </c>
      <c r="H137" s="24">
        <f>Sales_Data[[#This Row],[Sales]]-Sales_Data[[#This Row],[Cost]]</f>
        <v>2260</v>
      </c>
      <c r="I137" s="25">
        <f>Sales_Data[[#This Row],[Profit ]]/Sales_Data[[#This Row],[Sales]]</f>
        <v>0.33954326923076922</v>
      </c>
    </row>
    <row r="138" spans="1:9" x14ac:dyDescent="0.35">
      <c r="A138" s="22">
        <v>45421</v>
      </c>
      <c r="B138" s="23" t="s">
        <v>17</v>
      </c>
      <c r="C138" s="23" t="s">
        <v>15</v>
      </c>
      <c r="D138" s="23" t="s">
        <v>21</v>
      </c>
      <c r="E138" s="23">
        <v>27800</v>
      </c>
      <c r="F138" s="23">
        <v>2</v>
      </c>
      <c r="G138" s="23">
        <v>16867</v>
      </c>
      <c r="H138" s="24">
        <f>Sales_Data[[#This Row],[Sales]]-Sales_Data[[#This Row],[Cost]]</f>
        <v>10933</v>
      </c>
      <c r="I138" s="25">
        <f>Sales_Data[[#This Row],[Profit ]]/Sales_Data[[#This Row],[Sales]]</f>
        <v>0.39327338129496403</v>
      </c>
    </row>
    <row r="139" spans="1:9" x14ac:dyDescent="0.35">
      <c r="A139" s="22">
        <v>45323</v>
      </c>
      <c r="B139" s="23" t="s">
        <v>17</v>
      </c>
      <c r="C139" s="23" t="s">
        <v>11</v>
      </c>
      <c r="D139" s="23" t="s">
        <v>24</v>
      </c>
      <c r="E139" s="23">
        <v>29137</v>
      </c>
      <c r="F139" s="23">
        <v>8</v>
      </c>
      <c r="G139" s="23">
        <v>23515</v>
      </c>
      <c r="H139" s="24">
        <f>Sales_Data[[#This Row],[Sales]]-Sales_Data[[#This Row],[Cost]]</f>
        <v>5622</v>
      </c>
      <c r="I139" s="25">
        <f>Sales_Data[[#This Row],[Profit ]]/Sales_Data[[#This Row],[Sales]]</f>
        <v>0.19295054398187872</v>
      </c>
    </row>
    <row r="140" spans="1:9" x14ac:dyDescent="0.35">
      <c r="A140" s="22">
        <v>45319</v>
      </c>
      <c r="B140" s="23" t="s">
        <v>10</v>
      </c>
      <c r="C140" s="23" t="s">
        <v>8</v>
      </c>
      <c r="D140" s="23" t="s">
        <v>25</v>
      </c>
      <c r="E140" s="23">
        <v>32731</v>
      </c>
      <c r="F140" s="23">
        <v>10</v>
      </c>
      <c r="G140" s="23">
        <v>23277</v>
      </c>
      <c r="H140" s="24">
        <f>Sales_Data[[#This Row],[Sales]]-Sales_Data[[#This Row],[Cost]]</f>
        <v>9454</v>
      </c>
      <c r="I140" s="25">
        <f>Sales_Data[[#This Row],[Profit ]]/Sales_Data[[#This Row],[Sales]]</f>
        <v>0.28883932663224465</v>
      </c>
    </row>
    <row r="141" spans="1:9" x14ac:dyDescent="0.35">
      <c r="A141" s="22">
        <v>45322</v>
      </c>
      <c r="B141" s="23" t="s">
        <v>17</v>
      </c>
      <c r="C141" s="23" t="s">
        <v>8</v>
      </c>
      <c r="D141" s="23" t="s">
        <v>25</v>
      </c>
      <c r="E141" s="23">
        <v>16521</v>
      </c>
      <c r="F141" s="23">
        <v>7</v>
      </c>
      <c r="G141" s="23">
        <v>11462</v>
      </c>
      <c r="H141" s="24">
        <f>Sales_Data[[#This Row],[Sales]]-Sales_Data[[#This Row],[Cost]]</f>
        <v>5059</v>
      </c>
      <c r="I141" s="25">
        <f>Sales_Data[[#This Row],[Profit ]]/Sales_Data[[#This Row],[Sales]]</f>
        <v>0.3062163307305853</v>
      </c>
    </row>
    <row r="142" spans="1:9" x14ac:dyDescent="0.35">
      <c r="A142" s="22">
        <v>45303</v>
      </c>
      <c r="B142" s="23" t="s">
        <v>17</v>
      </c>
      <c r="C142" s="23" t="s">
        <v>8</v>
      </c>
      <c r="D142" s="23" t="s">
        <v>9</v>
      </c>
      <c r="E142" s="23">
        <v>7517</v>
      </c>
      <c r="F142" s="23">
        <v>5</v>
      </c>
      <c r="G142" s="23">
        <v>5150</v>
      </c>
      <c r="H142" s="24">
        <f>Sales_Data[[#This Row],[Sales]]-Sales_Data[[#This Row],[Cost]]</f>
        <v>2367</v>
      </c>
      <c r="I142" s="25">
        <f>Sales_Data[[#This Row],[Profit ]]/Sales_Data[[#This Row],[Sales]]</f>
        <v>0.31488625781561791</v>
      </c>
    </row>
    <row r="143" spans="1:9" x14ac:dyDescent="0.35">
      <c r="A143" s="22">
        <v>45452</v>
      </c>
      <c r="B143" s="23" t="s">
        <v>17</v>
      </c>
      <c r="C143" s="23" t="s">
        <v>15</v>
      </c>
      <c r="D143" s="23" t="s">
        <v>21</v>
      </c>
      <c r="E143" s="23">
        <v>21994</v>
      </c>
      <c r="F143" s="23">
        <v>16</v>
      </c>
      <c r="G143" s="23">
        <v>15031</v>
      </c>
      <c r="H143" s="24">
        <f>Sales_Data[[#This Row],[Sales]]-Sales_Data[[#This Row],[Cost]]</f>
        <v>6963</v>
      </c>
      <c r="I143" s="25">
        <f>Sales_Data[[#This Row],[Profit ]]/Sales_Data[[#This Row],[Sales]]</f>
        <v>0.31658634172956263</v>
      </c>
    </row>
    <row r="144" spans="1:9" x14ac:dyDescent="0.35">
      <c r="A144" s="22">
        <v>45409</v>
      </c>
      <c r="B144" s="23" t="s">
        <v>13</v>
      </c>
      <c r="C144" s="23" t="s">
        <v>15</v>
      </c>
      <c r="D144" s="23" t="s">
        <v>21</v>
      </c>
      <c r="E144" s="23">
        <v>12977</v>
      </c>
      <c r="F144" s="23">
        <v>4</v>
      </c>
      <c r="G144" s="23">
        <v>8081</v>
      </c>
      <c r="H144" s="24">
        <f>Sales_Data[[#This Row],[Sales]]-Sales_Data[[#This Row],[Cost]]</f>
        <v>4896</v>
      </c>
      <c r="I144" s="25">
        <f>Sales_Data[[#This Row],[Profit ]]/Sales_Data[[#This Row],[Sales]]</f>
        <v>0.37728288510441549</v>
      </c>
    </row>
    <row r="145" spans="1:9" x14ac:dyDescent="0.35">
      <c r="A145" s="22">
        <v>45321</v>
      </c>
      <c r="B145" s="23" t="s">
        <v>7</v>
      </c>
      <c r="C145" s="23" t="s">
        <v>15</v>
      </c>
      <c r="D145" s="23" t="s">
        <v>18</v>
      </c>
      <c r="E145" s="23">
        <v>10408</v>
      </c>
      <c r="F145" s="23">
        <v>11</v>
      </c>
      <c r="G145" s="23">
        <v>8020</v>
      </c>
      <c r="H145" s="24">
        <f>Sales_Data[[#This Row],[Sales]]-Sales_Data[[#This Row],[Cost]]</f>
        <v>2388</v>
      </c>
      <c r="I145" s="25">
        <f>Sales_Data[[#This Row],[Profit ]]/Sales_Data[[#This Row],[Sales]]</f>
        <v>0.22943889315910837</v>
      </c>
    </row>
    <row r="146" spans="1:9" x14ac:dyDescent="0.35">
      <c r="A146" s="22">
        <v>45416</v>
      </c>
      <c r="B146" s="23" t="s">
        <v>10</v>
      </c>
      <c r="C146" s="23" t="s">
        <v>15</v>
      </c>
      <c r="D146" s="23" t="s">
        <v>21</v>
      </c>
      <c r="E146" s="23">
        <v>24340</v>
      </c>
      <c r="F146" s="23">
        <v>7</v>
      </c>
      <c r="G146" s="23">
        <v>14784</v>
      </c>
      <c r="H146" s="24">
        <f>Sales_Data[[#This Row],[Sales]]-Sales_Data[[#This Row],[Cost]]</f>
        <v>9556</v>
      </c>
      <c r="I146" s="25">
        <f>Sales_Data[[#This Row],[Profit ]]/Sales_Data[[#This Row],[Sales]]</f>
        <v>0.39260476581758424</v>
      </c>
    </row>
    <row r="147" spans="1:9" x14ac:dyDescent="0.35">
      <c r="A147" s="22">
        <v>45394</v>
      </c>
      <c r="B147" s="23" t="s">
        <v>7</v>
      </c>
      <c r="C147" s="23" t="s">
        <v>11</v>
      </c>
      <c r="D147" s="23" t="s">
        <v>19</v>
      </c>
      <c r="E147" s="23">
        <v>16273</v>
      </c>
      <c r="F147" s="23">
        <v>5</v>
      </c>
      <c r="G147" s="23">
        <v>11687</v>
      </c>
      <c r="H147" s="24">
        <f>Sales_Data[[#This Row],[Sales]]-Sales_Data[[#This Row],[Cost]]</f>
        <v>4586</v>
      </c>
      <c r="I147" s="25">
        <f>Sales_Data[[#This Row],[Profit ]]/Sales_Data[[#This Row],[Sales]]</f>
        <v>0.28181650586861673</v>
      </c>
    </row>
    <row r="148" spans="1:9" x14ac:dyDescent="0.35">
      <c r="A148" s="22">
        <v>45391</v>
      </c>
      <c r="B148" s="23" t="s">
        <v>13</v>
      </c>
      <c r="C148" s="23" t="s">
        <v>15</v>
      </c>
      <c r="D148" s="23" t="s">
        <v>18</v>
      </c>
      <c r="E148" s="23">
        <v>26122</v>
      </c>
      <c r="F148" s="23">
        <v>15</v>
      </c>
      <c r="G148" s="23">
        <v>19124</v>
      </c>
      <c r="H148" s="24">
        <f>Sales_Data[[#This Row],[Sales]]-Sales_Data[[#This Row],[Cost]]</f>
        <v>6998</v>
      </c>
      <c r="I148" s="25">
        <f>Sales_Data[[#This Row],[Profit ]]/Sales_Data[[#This Row],[Sales]]</f>
        <v>0.2678967919761121</v>
      </c>
    </row>
    <row r="149" spans="1:9" x14ac:dyDescent="0.35">
      <c r="A149" s="22">
        <v>45335</v>
      </c>
      <c r="B149" s="23" t="s">
        <v>17</v>
      </c>
      <c r="C149" s="23" t="s">
        <v>11</v>
      </c>
      <c r="D149" s="23" t="s">
        <v>12</v>
      </c>
      <c r="E149" s="23">
        <v>25044</v>
      </c>
      <c r="F149" s="23">
        <v>1</v>
      </c>
      <c r="G149" s="23">
        <v>20683</v>
      </c>
      <c r="H149" s="24">
        <f>Sales_Data[[#This Row],[Sales]]-Sales_Data[[#This Row],[Cost]]</f>
        <v>4361</v>
      </c>
      <c r="I149" s="25">
        <f>Sales_Data[[#This Row],[Profit ]]/Sales_Data[[#This Row],[Sales]]</f>
        <v>0.17413352499600704</v>
      </c>
    </row>
    <row r="150" spans="1:9" x14ac:dyDescent="0.35">
      <c r="A150" s="22">
        <v>45431</v>
      </c>
      <c r="B150" s="23" t="s">
        <v>7</v>
      </c>
      <c r="C150" s="23" t="s">
        <v>15</v>
      </c>
      <c r="D150" s="23" t="s">
        <v>18</v>
      </c>
      <c r="E150" s="23">
        <v>13673</v>
      </c>
      <c r="F150" s="23">
        <v>16</v>
      </c>
      <c r="G150" s="23">
        <v>9304</v>
      </c>
      <c r="H150" s="24">
        <f>Sales_Data[[#This Row],[Sales]]-Sales_Data[[#This Row],[Cost]]</f>
        <v>4369</v>
      </c>
      <c r="I150" s="25">
        <f>Sales_Data[[#This Row],[Profit ]]/Sales_Data[[#This Row],[Sales]]</f>
        <v>0.31953484970379581</v>
      </c>
    </row>
    <row r="151" spans="1:9" x14ac:dyDescent="0.35">
      <c r="A151" s="22">
        <v>45323</v>
      </c>
      <c r="B151" s="23" t="s">
        <v>10</v>
      </c>
      <c r="C151" s="23" t="s">
        <v>8</v>
      </c>
      <c r="D151" s="23" t="s">
        <v>25</v>
      </c>
      <c r="E151" s="23">
        <v>37886</v>
      </c>
      <c r="F151" s="23">
        <v>6</v>
      </c>
      <c r="G151" s="23">
        <v>27799</v>
      </c>
      <c r="H151" s="24">
        <f>Sales_Data[[#This Row],[Sales]]-Sales_Data[[#This Row],[Cost]]</f>
        <v>10087</v>
      </c>
      <c r="I151" s="25">
        <f>Sales_Data[[#This Row],[Profit ]]/Sales_Data[[#This Row],[Sales]]</f>
        <v>0.26624610674127647</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0"/>
  <sheetViews>
    <sheetView workbookViewId="0">
      <selection activeCell="H12" sqref="H12:I20"/>
    </sheetView>
  </sheetViews>
  <sheetFormatPr defaultRowHeight="14.5" x14ac:dyDescent="0.35"/>
  <cols>
    <col min="1" max="1" width="11.26953125" customWidth="1"/>
    <col min="2" max="2" width="11.26953125" bestFit="1" customWidth="1"/>
    <col min="8" max="8" width="12.36328125" customWidth="1"/>
    <col min="9" max="9" width="11.26953125" customWidth="1"/>
    <col min="11" max="11" width="12.36328125" customWidth="1"/>
    <col min="12" max="12" width="12.26953125" customWidth="1"/>
  </cols>
  <sheetData>
    <row r="3" spans="1:12" x14ac:dyDescent="0.35">
      <c r="A3" s="7"/>
      <c r="B3" s="8"/>
      <c r="C3" s="9"/>
    </row>
    <row r="4" spans="1:12" x14ac:dyDescent="0.35">
      <c r="A4" s="10"/>
      <c r="B4" s="11"/>
      <c r="C4" s="12"/>
      <c r="H4" s="4" t="s">
        <v>29</v>
      </c>
      <c r="I4" t="s">
        <v>28</v>
      </c>
      <c r="K4" s="4" t="s">
        <v>29</v>
      </c>
      <c r="L4" t="s">
        <v>31</v>
      </c>
    </row>
    <row r="5" spans="1:12" x14ac:dyDescent="0.35">
      <c r="A5" s="10"/>
      <c r="B5" s="11"/>
      <c r="C5" s="12"/>
      <c r="H5" s="5" t="s">
        <v>13</v>
      </c>
      <c r="I5" s="3">
        <v>816058</v>
      </c>
      <c r="K5" s="5" t="s">
        <v>8</v>
      </c>
      <c r="L5" s="3">
        <v>241247</v>
      </c>
    </row>
    <row r="6" spans="1:12" x14ac:dyDescent="0.35">
      <c r="A6" s="10"/>
      <c r="B6" s="11"/>
      <c r="C6" s="12"/>
      <c r="H6" s="5" t="s">
        <v>10</v>
      </c>
      <c r="I6" s="3">
        <v>761066</v>
      </c>
      <c r="K6" s="5" t="s">
        <v>15</v>
      </c>
      <c r="L6" s="3">
        <v>348440</v>
      </c>
    </row>
    <row r="7" spans="1:12" x14ac:dyDescent="0.35">
      <c r="A7" s="10"/>
      <c r="B7" s="11"/>
      <c r="C7" s="12"/>
      <c r="H7" s="5" t="s">
        <v>17</v>
      </c>
      <c r="I7" s="3">
        <v>867255</v>
      </c>
      <c r="K7" s="5" t="s">
        <v>11</v>
      </c>
      <c r="L7" s="3">
        <v>294138</v>
      </c>
    </row>
    <row r="8" spans="1:12" x14ac:dyDescent="0.35">
      <c r="A8" s="10"/>
      <c r="B8" s="11"/>
      <c r="C8" s="12"/>
      <c r="H8" s="5" t="s">
        <v>7</v>
      </c>
      <c r="I8" s="3">
        <v>793927</v>
      </c>
      <c r="K8" s="5" t="s">
        <v>30</v>
      </c>
      <c r="L8" s="3">
        <v>883825</v>
      </c>
    </row>
    <row r="9" spans="1:12" x14ac:dyDescent="0.35">
      <c r="A9" s="10"/>
      <c r="B9" s="11"/>
      <c r="C9" s="12"/>
      <c r="H9" s="5" t="s">
        <v>30</v>
      </c>
      <c r="I9" s="3">
        <v>3238306</v>
      </c>
    </row>
    <row r="10" spans="1:12" x14ac:dyDescent="0.35">
      <c r="A10" s="10"/>
      <c r="B10" s="11"/>
      <c r="C10" s="12"/>
    </row>
    <row r="11" spans="1:12" x14ac:dyDescent="0.35">
      <c r="A11" s="10"/>
      <c r="B11" s="11"/>
      <c r="C11" s="12"/>
    </row>
    <row r="12" spans="1:12" x14ac:dyDescent="0.35">
      <c r="A12" s="10"/>
      <c r="B12" s="11"/>
      <c r="C12" s="12"/>
      <c r="H12" s="4" t="s">
        <v>29</v>
      </c>
      <c r="I12" t="s">
        <v>28</v>
      </c>
    </row>
    <row r="13" spans="1:12" x14ac:dyDescent="0.35">
      <c r="A13" s="10"/>
      <c r="B13" s="11"/>
      <c r="C13" s="12"/>
      <c r="H13" s="5" t="s">
        <v>32</v>
      </c>
      <c r="I13" s="3"/>
    </row>
    <row r="14" spans="1:12" x14ac:dyDescent="0.35">
      <c r="A14" s="10"/>
      <c r="B14" s="11"/>
      <c r="C14" s="12"/>
      <c r="H14" s="6" t="s">
        <v>33</v>
      </c>
      <c r="I14" s="3">
        <v>749923</v>
      </c>
    </row>
    <row r="15" spans="1:12" x14ac:dyDescent="0.35">
      <c r="A15" s="10"/>
      <c r="B15" s="11"/>
      <c r="C15" s="12"/>
      <c r="H15" s="6" t="s">
        <v>34</v>
      </c>
      <c r="I15" s="3">
        <v>383095</v>
      </c>
    </row>
    <row r="16" spans="1:12" x14ac:dyDescent="0.35">
      <c r="A16" s="10"/>
      <c r="B16" s="11"/>
      <c r="C16" s="12"/>
      <c r="H16" s="6" t="s">
        <v>35</v>
      </c>
      <c r="I16" s="3">
        <v>523763</v>
      </c>
    </row>
    <row r="17" spans="1:9" x14ac:dyDescent="0.35">
      <c r="A17" s="10"/>
      <c r="B17" s="11"/>
      <c r="C17" s="12"/>
      <c r="H17" s="6" t="s">
        <v>36</v>
      </c>
      <c r="I17" s="3">
        <v>562697</v>
      </c>
    </row>
    <row r="18" spans="1:9" x14ac:dyDescent="0.35">
      <c r="A18" s="10"/>
      <c r="B18" s="11"/>
      <c r="C18" s="12"/>
      <c r="H18" s="6" t="s">
        <v>37</v>
      </c>
      <c r="I18" s="3">
        <v>484200</v>
      </c>
    </row>
    <row r="19" spans="1:9" x14ac:dyDescent="0.35">
      <c r="A19" s="10"/>
      <c r="B19" s="11"/>
      <c r="C19" s="12"/>
      <c r="H19" s="6" t="s">
        <v>38</v>
      </c>
      <c r="I19" s="3">
        <v>534628</v>
      </c>
    </row>
    <row r="20" spans="1:9" x14ac:dyDescent="0.35">
      <c r="A20" s="13"/>
      <c r="B20" s="14"/>
      <c r="C20" s="15"/>
      <c r="H20" s="5" t="s">
        <v>30</v>
      </c>
      <c r="I20" s="3">
        <v>3238306</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4"/>
  <sheetViews>
    <sheetView workbookViewId="0">
      <selection activeCell="C18" sqref="C18"/>
    </sheetView>
  </sheetViews>
  <sheetFormatPr defaultRowHeight="14.5" x14ac:dyDescent="0.35"/>
  <cols>
    <col min="1" max="1" width="2.1796875" customWidth="1"/>
    <col min="2" max="2" width="29.08984375" bestFit="1" customWidth="1"/>
    <col min="3" max="3" width="16.36328125" bestFit="1" customWidth="1"/>
  </cols>
  <sheetData>
    <row r="1" spans="2:3" ht="15" thickBot="1" x14ac:dyDescent="0.4"/>
    <row r="2" spans="2:3" ht="17.5" customHeight="1" x14ac:dyDescent="0.35">
      <c r="B2" s="16" t="s">
        <v>39</v>
      </c>
      <c r="C2" s="17">
        <f>SUM(Sales_Data[Sales],)</f>
        <v>3238306</v>
      </c>
    </row>
    <row r="3" spans="2:3" ht="14.5" customHeight="1" x14ac:dyDescent="0.35">
      <c r="B3" s="18" t="s">
        <v>40</v>
      </c>
      <c r="C3" s="19">
        <f>SUM(Sales_Data[[Profit ]],)</f>
        <v>883825</v>
      </c>
    </row>
    <row r="4" spans="2:3" ht="15" customHeight="1" thickBot="1" x14ac:dyDescent="0.4">
      <c r="B4" s="20" t="s">
        <v>41</v>
      </c>
      <c r="C4" s="21">
        <f>AVERAGE(Sales_Data[Profit Margin %],)</f>
        <v>0.27132487280417766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XFD1"/>
    </sheetView>
  </sheetViews>
  <sheetFormatPr defaultRowHeight="14.5" x14ac:dyDescent="0.35"/>
  <cols>
    <col min="2" max="2" width="10.81640625" bestFit="1" customWidth="1"/>
    <col min="4" max="4" width="12.90625" customWidth="1"/>
    <col min="5" max="5" width="16.36328125" bestFit="1" customWidth="1"/>
    <col min="7" max="7" width="13.81640625" bestFit="1" customWidth="1"/>
    <col min="8" max="8" width="15.08984375" bestFit="1" customWidth="1"/>
    <col min="10" max="10" width="18.7265625" bestFit="1" customWidth="1"/>
    <col min="11" max="11" width="5.9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Piviot Analysis</vt:lpstr>
      <vt:lpstr>KPI Summary</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2026-01-13T14:50:59Z</dcterms:created>
  <dcterms:modified xsi:type="dcterms:W3CDTF">2026-01-13T17:32:54Z</dcterms:modified>
</cp:coreProperties>
</file>